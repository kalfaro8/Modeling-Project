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kyliealfaro/Desktop/PhD UHM/Modeling Project/Random-Forest-main/"/>
    </mc:Choice>
  </mc:AlternateContent>
  <xr:revisionPtr revIDLastSave="0" documentId="13_ncr:1_{22B6B4AE-3E6B-8A4A-8888-BD572F685013}" xr6:coauthVersionLast="47" xr6:coauthVersionMax="47" xr10:uidLastSave="{00000000-0000-0000-0000-000000000000}"/>
  <bookViews>
    <workbookView xWindow="16940" yWindow="3460" windowWidth="30200" windowHeight="21680" activeTab="1" xr2:uid="{6AE4499B-BE9B-4430-8CBB-9E423EAAA4D3}"/>
  </bookViews>
  <sheets>
    <sheet name="Combined Manoa Data" sheetId="1" r:id="rId1"/>
    <sheet name="Sheet3" sheetId="6" r:id="rId2"/>
    <sheet name="Hailey's Data" sheetId="3" r:id="rId3"/>
    <sheet name="Sheet1" sheetId="4" r:id="rId4"/>
    <sheet name="Sheet2" sheetId="5" r:id="rId5"/>
  </sheets>
  <definedNames>
    <definedName name="_xlnm._FilterDatabase" localSheetId="0" hidden="1">'Combined Manoa Data'!$B$2:$N$137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6" l="1"/>
  <c r="F19" i="6"/>
  <c r="F18" i="6"/>
  <c r="F17" i="6"/>
  <c r="F16" i="6"/>
  <c r="F15" i="6"/>
  <c r="H14" i="6"/>
  <c r="F14" i="6"/>
  <c r="H13" i="6"/>
  <c r="F13" i="6"/>
  <c r="H12" i="6"/>
  <c r="F12" i="6"/>
  <c r="F11" i="6"/>
  <c r="H10" i="6"/>
  <c r="F10" i="6"/>
  <c r="H9" i="6"/>
  <c r="F9" i="6"/>
  <c r="F8" i="6"/>
  <c r="F7" i="6"/>
  <c r="F6" i="6"/>
  <c r="F5" i="6"/>
  <c r="F4" i="6"/>
  <c r="F3" i="6"/>
  <c r="I72" i="4"/>
  <c r="N68" i="4"/>
  <c r="I68" i="4"/>
  <c r="I64" i="4"/>
  <c r="N61" i="4"/>
  <c r="I61" i="4"/>
  <c r="N54" i="4"/>
  <c r="I54" i="4"/>
  <c r="N52" i="4"/>
  <c r="I52" i="4"/>
  <c r="N50" i="4"/>
  <c r="I50" i="4"/>
  <c r="N46" i="4"/>
  <c r="I46" i="4"/>
  <c r="N44" i="4"/>
  <c r="I44" i="4"/>
  <c r="N43" i="4"/>
  <c r="I43" i="4"/>
  <c r="N42" i="4"/>
  <c r="I42" i="4"/>
  <c r="N40" i="4"/>
  <c r="I40" i="4"/>
  <c r="N38" i="4"/>
  <c r="I38" i="4"/>
  <c r="N34" i="4"/>
  <c r="I34" i="4"/>
  <c r="N31" i="4"/>
  <c r="I31" i="4"/>
  <c r="N28" i="4"/>
  <c r="I28" i="4"/>
  <c r="N22" i="4"/>
  <c r="I22" i="4"/>
  <c r="N21" i="4"/>
  <c r="I21" i="4"/>
  <c r="N18" i="4"/>
  <c r="I18" i="4"/>
  <c r="N14" i="4"/>
  <c r="I14" i="4"/>
  <c r="N13" i="4"/>
  <c r="I13" i="4"/>
  <c r="N11" i="4"/>
  <c r="I11" i="4"/>
  <c r="N8" i="4"/>
  <c r="I8" i="4"/>
  <c r="N6" i="4"/>
  <c r="I6" i="4"/>
  <c r="N5" i="4"/>
  <c r="I5" i="4"/>
  <c r="N3" i="4"/>
  <c r="I3" i="4"/>
  <c r="N94" i="4"/>
  <c r="N88" i="4"/>
  <c r="N82" i="4"/>
  <c r="N71" i="4"/>
  <c r="N65" i="4"/>
  <c r="N55" i="4"/>
  <c r="N47" i="4"/>
  <c r="N37" i="4"/>
  <c r="N29" i="4"/>
  <c r="N17" i="4"/>
  <c r="N7" i="4"/>
  <c r="N4" i="4"/>
  <c r="N101" i="4"/>
  <c r="N99" i="4"/>
  <c r="N98" i="4"/>
  <c r="N96" i="4"/>
  <c r="N95" i="4"/>
  <c r="N93" i="4"/>
  <c r="N91" i="4"/>
  <c r="N90" i="4"/>
  <c r="N89" i="4"/>
  <c r="N87" i="4"/>
  <c r="N86" i="4"/>
  <c r="N83" i="4"/>
  <c r="N81" i="4"/>
  <c r="N80" i="4"/>
  <c r="N79" i="4"/>
  <c r="N77" i="4"/>
  <c r="N75" i="4"/>
  <c r="N73" i="4"/>
  <c r="N70" i="4"/>
  <c r="N67" i="4"/>
  <c r="N63" i="4"/>
  <c r="N60" i="4"/>
  <c r="N58" i="4"/>
  <c r="N57" i="4"/>
  <c r="N51" i="4"/>
  <c r="N48" i="4"/>
  <c r="N45" i="4"/>
  <c r="N41" i="4"/>
  <c r="N36" i="4"/>
  <c r="N30" i="4"/>
  <c r="N27" i="4"/>
  <c r="N26" i="4"/>
  <c r="N24" i="4"/>
  <c r="N20" i="4"/>
  <c r="N16" i="4"/>
  <c r="N12" i="4"/>
  <c r="N10" i="4"/>
  <c r="N100" i="4"/>
  <c r="N97" i="4"/>
  <c r="N92" i="4"/>
  <c r="N85" i="4"/>
  <c r="N84" i="4"/>
  <c r="N78" i="4"/>
  <c r="N76" i="4"/>
  <c r="N74" i="4"/>
  <c r="N69" i="4"/>
  <c r="N66" i="4"/>
  <c r="N62" i="4"/>
  <c r="N59" i="4"/>
  <c r="N56" i="4"/>
  <c r="N53" i="4"/>
  <c r="N49" i="4"/>
  <c r="N39" i="4"/>
  <c r="N35" i="4"/>
  <c r="N33" i="4"/>
  <c r="N32" i="4"/>
  <c r="N25" i="4"/>
  <c r="N23" i="4"/>
  <c r="N19" i="4"/>
  <c r="N15" i="4"/>
  <c r="N9" i="4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3" i="1"/>
  <c r="N1" i="3"/>
  <c r="L2" i="3"/>
  <c r="AA3" i="3"/>
  <c r="L4" i="3"/>
  <c r="AA4" i="3"/>
  <c r="AA5" i="3"/>
  <c r="AA6" i="3"/>
  <c r="AA7" i="3"/>
  <c r="AA8" i="3"/>
  <c r="N9" i="3"/>
  <c r="AA9" i="3"/>
  <c r="I10" i="3"/>
  <c r="AA10" i="3"/>
  <c r="AA11" i="3"/>
  <c r="L12" i="3"/>
  <c r="AA12" i="3"/>
  <c r="L13" i="3"/>
  <c r="AA13" i="3"/>
  <c r="L14" i="3"/>
  <c r="AA14" i="3"/>
  <c r="L15" i="3"/>
  <c r="AA15" i="3"/>
  <c r="AA16" i="3"/>
  <c r="AA17" i="3"/>
  <c r="AA18" i="3"/>
  <c r="AA19" i="3"/>
  <c r="L20" i="3"/>
  <c r="AA20" i="3"/>
  <c r="L21" i="3"/>
  <c r="AA21" i="3"/>
  <c r="AA22" i="3"/>
  <c r="AA23" i="3"/>
  <c r="L24" i="3"/>
  <c r="AA24" i="3"/>
  <c r="L25" i="3"/>
  <c r="AA25" i="3"/>
  <c r="L26" i="3"/>
  <c r="AA26" i="3"/>
  <c r="L27" i="3"/>
  <c r="AA27" i="3"/>
  <c r="AA28" i="3"/>
  <c r="AA29" i="3"/>
  <c r="AA30" i="3"/>
  <c r="AA31" i="3"/>
  <c r="N32" i="3"/>
  <c r="AA32" i="3"/>
  <c r="AA33" i="3"/>
  <c r="AA34" i="3"/>
  <c r="AA35" i="3"/>
  <c r="AA36" i="3"/>
  <c r="L37" i="3"/>
  <c r="AA37" i="3"/>
  <c r="L38" i="3"/>
  <c r="AA38" i="3"/>
  <c r="L39" i="3"/>
  <c r="AA39" i="3"/>
  <c r="AA40" i="3"/>
  <c r="L41" i="3"/>
  <c r="AA41" i="3"/>
  <c r="I42" i="3"/>
  <c r="AA42" i="3"/>
  <c r="N43" i="3"/>
  <c r="AA43" i="3"/>
  <c r="AA44" i="3"/>
  <c r="AA45" i="3"/>
  <c r="AA46" i="3"/>
  <c r="AA47" i="3"/>
  <c r="L48" i="3"/>
  <c r="AA48" i="3"/>
  <c r="L49" i="3"/>
  <c r="AA49" i="3"/>
  <c r="L50" i="3"/>
  <c r="AA50" i="3"/>
  <c r="AA51" i="3"/>
  <c r="L52" i="3"/>
  <c r="AA52" i="3"/>
  <c r="AA53" i="3"/>
  <c r="AA54" i="3"/>
  <c r="AA55" i="3"/>
  <c r="AA56" i="3"/>
  <c r="AA57" i="3"/>
  <c r="AA58" i="3"/>
  <c r="L59" i="3"/>
  <c r="AA59" i="3"/>
  <c r="L60" i="3"/>
  <c r="N53" i="3" s="1"/>
  <c r="AA60" i="3"/>
  <c r="L61" i="3"/>
  <c r="AA61" i="3"/>
  <c r="N62" i="3"/>
  <c r="AA62" i="3"/>
  <c r="L63" i="3"/>
  <c r="AA63" i="3"/>
  <c r="AA64" i="3"/>
  <c r="AA65" i="3"/>
  <c r="AA66" i="3"/>
  <c r="AA67" i="3"/>
  <c r="AA68" i="3"/>
  <c r="L69" i="3"/>
  <c r="AA69" i="3"/>
  <c r="L70" i="3"/>
  <c r="AA70" i="3"/>
  <c r="L71" i="3"/>
  <c r="AA71" i="3"/>
  <c r="N72" i="3"/>
  <c r="AA72" i="3"/>
  <c r="L73" i="3"/>
  <c r="AA73" i="3"/>
  <c r="AA74" i="3"/>
  <c r="AA75" i="3"/>
  <c r="AA76" i="3"/>
  <c r="AA77" i="3"/>
  <c r="L78" i="3"/>
  <c r="AA78" i="3"/>
  <c r="L79" i="3"/>
  <c r="AA79" i="3"/>
  <c r="AA80" i="3"/>
  <c r="L81" i="3"/>
  <c r="AA81" i="3"/>
  <c r="L82" i="3"/>
  <c r="AA82" i="3"/>
  <c r="N83" i="3"/>
  <c r="AA83" i="3"/>
  <c r="AA84" i="3"/>
  <c r="AA85" i="3"/>
  <c r="AA86" i="3"/>
  <c r="L87" i="3"/>
  <c r="AA87" i="3"/>
  <c r="L88" i="3"/>
  <c r="AA88" i="3"/>
  <c r="AA89" i="3"/>
  <c r="N90" i="3"/>
  <c r="AA90" i="3"/>
  <c r="L91" i="3"/>
  <c r="AA91" i="3"/>
  <c r="AA92" i="3"/>
  <c r="L93" i="3"/>
  <c r="N102" i="3" s="1"/>
  <c r="AA93" i="3"/>
  <c r="AA94" i="3"/>
  <c r="AA95" i="3"/>
  <c r="AA96" i="3"/>
  <c r="AA97" i="3"/>
  <c r="L98" i="3"/>
  <c r="AA98" i="3"/>
  <c r="L99" i="3"/>
  <c r="AA99" i="3"/>
  <c r="AA100" i="3"/>
  <c r="L101" i="3"/>
  <c r="AA101" i="3"/>
  <c r="AA102" i="3"/>
  <c r="L103" i="3"/>
  <c r="AA103" i="3"/>
  <c r="N104" i="3"/>
  <c r="AA104" i="3"/>
  <c r="L105" i="3"/>
  <c r="AA105" i="3"/>
  <c r="AA106" i="3"/>
  <c r="L107" i="3"/>
  <c r="AA107" i="3"/>
  <c r="L108" i="3"/>
  <c r="AA108" i="3"/>
  <c r="AA109" i="3"/>
  <c r="AA110" i="3"/>
  <c r="AA111" i="3"/>
  <c r="AA112" i="3"/>
  <c r="L113" i="3"/>
  <c r="AA113" i="3"/>
  <c r="AA114" i="3"/>
  <c r="AA115" i="3"/>
  <c r="K136" i="1"/>
  <c r="H124" i="1"/>
  <c r="F40" i="1"/>
  <c r="F3" i="1"/>
  <c r="F10" i="1"/>
  <c r="F31" i="1"/>
  <c r="F41" i="1"/>
  <c r="F50" i="1"/>
  <c r="F58" i="1"/>
  <c r="F67" i="1"/>
  <c r="F77" i="1"/>
  <c r="F83" i="1"/>
  <c r="F94" i="1"/>
  <c r="F96" i="1"/>
  <c r="F11" i="1"/>
  <c r="F4" i="1"/>
  <c r="F13" i="1"/>
  <c r="F24" i="1"/>
  <c r="F37" i="1"/>
  <c r="F49" i="1"/>
  <c r="F59" i="1"/>
  <c r="F68" i="1"/>
  <c r="F75" i="1"/>
  <c r="F84" i="1"/>
  <c r="F93" i="1"/>
  <c r="F97" i="1"/>
  <c r="F9" i="1"/>
  <c r="F12" i="1"/>
  <c r="F22" i="1"/>
  <c r="F23" i="1"/>
  <c r="F38" i="1"/>
  <c r="F48" i="1"/>
  <c r="F54" i="1"/>
  <c r="F63" i="1"/>
  <c r="F74" i="1"/>
  <c r="F85" i="1"/>
  <c r="F92" i="1"/>
  <c r="F98" i="1"/>
  <c r="F14" i="1"/>
  <c r="F21" i="1"/>
  <c r="F25" i="1"/>
  <c r="F39" i="1"/>
  <c r="F47" i="1"/>
  <c r="F55" i="1"/>
  <c r="F64" i="1"/>
  <c r="F73" i="1"/>
  <c r="F86" i="1"/>
  <c r="F95" i="1"/>
  <c r="F99" i="1"/>
  <c r="F15" i="1"/>
  <c r="F20" i="1"/>
  <c r="F26" i="1"/>
  <c r="F36" i="1"/>
  <c r="F46" i="1"/>
  <c r="F56" i="1"/>
  <c r="F65" i="1"/>
  <c r="F76" i="1"/>
  <c r="F80" i="1"/>
  <c r="F91" i="1"/>
  <c r="F104" i="1"/>
  <c r="F6" i="1"/>
  <c r="F16" i="1"/>
  <c r="F27" i="1"/>
  <c r="F35" i="1"/>
  <c r="F45" i="1"/>
  <c r="F57" i="1"/>
  <c r="F66" i="1"/>
  <c r="F72" i="1"/>
  <c r="F81" i="1"/>
  <c r="F90" i="1"/>
  <c r="F100" i="1"/>
  <c r="F5" i="1"/>
  <c r="F17" i="1"/>
  <c r="F28" i="1"/>
  <c r="F34" i="1"/>
  <c r="F44" i="1"/>
  <c r="F53" i="1"/>
  <c r="F62" i="1"/>
  <c r="F71" i="1"/>
  <c r="F82" i="1"/>
  <c r="F89" i="1"/>
  <c r="F101" i="1"/>
  <c r="F7" i="1"/>
  <c r="F18" i="1"/>
  <c r="F29" i="1"/>
  <c r="F33" i="1"/>
  <c r="F43" i="1"/>
  <c r="F52" i="1"/>
  <c r="F61" i="1"/>
  <c r="F70" i="1"/>
  <c r="F79" i="1"/>
  <c r="F88" i="1"/>
  <c r="F103" i="1"/>
  <c r="F8" i="1"/>
  <c r="F19" i="1"/>
  <c r="F30" i="1"/>
  <c r="F32" i="1"/>
  <c r="F42" i="1"/>
  <c r="F51" i="1"/>
  <c r="F60" i="1"/>
  <c r="F69" i="1"/>
  <c r="F78" i="1"/>
  <c r="F87" i="1"/>
  <c r="F102" i="1"/>
  <c r="H137" i="1"/>
  <c r="H136" i="1"/>
  <c r="H131" i="1"/>
  <c r="H126" i="1"/>
  <c r="H125" i="1"/>
  <c r="H123" i="1"/>
  <c r="H112" i="1"/>
  <c r="H116" i="1"/>
  <c r="H115" i="1"/>
  <c r="H114" i="1"/>
  <c r="H111" i="1"/>
  <c r="F114" i="1"/>
  <c r="F116" i="1"/>
  <c r="F123" i="1"/>
  <c r="F111" i="1"/>
  <c r="F115" i="1"/>
  <c r="F112" i="1"/>
  <c r="F124" i="1"/>
  <c r="F136" i="1"/>
  <c r="F125" i="1"/>
  <c r="F131" i="1"/>
  <c r="F137" i="1"/>
  <c r="F126" i="1"/>
  <c r="F108" i="1"/>
  <c r="F109" i="1"/>
  <c r="F106" i="1"/>
  <c r="F105" i="1"/>
  <c r="F113" i="1"/>
  <c r="F110" i="1"/>
  <c r="F117" i="1"/>
  <c r="F118" i="1"/>
  <c r="F119" i="1"/>
  <c r="F120" i="1"/>
  <c r="F121" i="1"/>
  <c r="F122" i="1"/>
  <c r="F127" i="1"/>
  <c r="F128" i="1"/>
  <c r="F129" i="1"/>
  <c r="F130" i="1"/>
  <c r="F132" i="1"/>
  <c r="F133" i="1"/>
  <c r="F134" i="1"/>
  <c r="F135" i="1"/>
  <c r="F107" i="1" l="1"/>
  <c r="O70" i="3"/>
  <c r="O53" i="3"/>
  <c r="O63" i="3"/>
  <c r="O108" i="3"/>
  <c r="O56" i="3"/>
  <c r="O20" i="3"/>
  <c r="O47" i="3"/>
  <c r="O75" i="3"/>
  <c r="O11" i="3"/>
  <c r="O30" i="3"/>
  <c r="O98" i="3"/>
  <c r="O41" i="3"/>
  <c r="O59" i="3"/>
  <c r="O95" i="3"/>
  <c r="O48" i="3"/>
  <c r="O110" i="3"/>
  <c r="O104" i="3"/>
  <c r="O87" i="3"/>
  <c r="O57" i="3"/>
  <c r="O32" i="3"/>
  <c r="O6" i="3"/>
  <c r="O28" i="3"/>
  <c r="O89" i="3"/>
  <c r="O45" i="3"/>
  <c r="O68" i="3"/>
  <c r="O1" i="3"/>
  <c r="O21" i="3"/>
  <c r="O74" i="3"/>
  <c r="O106" i="3"/>
  <c r="O38" i="3"/>
  <c r="O16" i="3"/>
  <c r="O76" i="3"/>
  <c r="O72" i="3"/>
  <c r="O10" i="3"/>
  <c r="O91" i="3"/>
  <c r="O83" i="3"/>
  <c r="O17" i="3"/>
  <c r="O58" i="3"/>
  <c r="O12" i="3"/>
  <c r="O86" i="3"/>
  <c r="O40" i="3"/>
  <c r="O102" i="3"/>
  <c r="O51" i="3"/>
  <c r="O111" i="3"/>
  <c r="O18" i="3"/>
  <c r="O105" i="3"/>
  <c r="O85" i="3"/>
  <c r="O77" i="3"/>
  <c r="O82" i="3"/>
  <c r="O103" i="3"/>
  <c r="O27" i="3"/>
  <c r="O50" i="3"/>
  <c r="O73" i="3"/>
  <c r="O37" i="3"/>
  <c r="O4" i="3"/>
  <c r="O54" i="3"/>
  <c r="O81" i="3"/>
  <c r="O71" i="3"/>
  <c r="O34" i="3"/>
  <c r="O100" i="3"/>
  <c r="O49" i="3"/>
  <c r="O80" i="3"/>
  <c r="O19" i="3"/>
  <c r="O113" i="3"/>
  <c r="O94" i="3"/>
  <c r="O96" i="3"/>
  <c r="O65" i="3"/>
  <c r="O60" i="3"/>
  <c r="O14" i="3"/>
  <c r="O24" i="3"/>
  <c r="O39" i="3"/>
  <c r="O88" i="3"/>
  <c r="O8" i="3"/>
  <c r="O90" i="3"/>
  <c r="O84" i="3"/>
  <c r="O22" i="3"/>
  <c r="O29" i="3"/>
  <c r="O79" i="3"/>
  <c r="O52" i="3"/>
  <c r="O66" i="3"/>
  <c r="O23" i="3"/>
  <c r="O42" i="3"/>
  <c r="O13" i="3"/>
  <c r="O97" i="3"/>
  <c r="O93" i="3"/>
  <c r="O107" i="3"/>
  <c r="O99" i="3"/>
  <c r="O101" i="3"/>
  <c r="O35" i="3"/>
  <c r="O7" i="3"/>
  <c r="O109" i="3"/>
  <c r="O78" i="3"/>
  <c r="O92" i="3"/>
  <c r="O5" i="3"/>
  <c r="O26" i="3"/>
  <c r="O36" i="3"/>
  <c r="O25" i="3"/>
  <c r="O61" i="3"/>
  <c r="O112" i="3"/>
  <c r="O62" i="3"/>
  <c r="O64" i="3"/>
  <c r="O43" i="3"/>
  <c r="O31" i="3"/>
  <c r="O55" i="3"/>
  <c r="O15" i="3"/>
  <c r="O46" i="3"/>
  <c r="O33" i="3"/>
  <c r="O9" i="3"/>
  <c r="O44" i="3"/>
  <c r="O67" i="3"/>
  <c r="O69" i="3"/>
  <c r="O2" i="3"/>
  <c r="O3" i="3"/>
  <c r="R114" i="3"/>
</calcChain>
</file>

<file path=xl/sharedStrings.xml><?xml version="1.0" encoding="utf-8"?>
<sst xmlns="http://schemas.openxmlformats.org/spreadsheetml/2006/main" count="656" uniqueCount="311">
  <si>
    <t>Date</t>
  </si>
  <si>
    <t>Site ID</t>
  </si>
  <si>
    <t>δ18O</t>
  </si>
  <si>
    <t>δ2H</t>
  </si>
  <si>
    <t>d-excess (‰)</t>
  </si>
  <si>
    <t xml:space="preserve">Temperature </t>
  </si>
  <si>
    <t>Discharge (m3/s)</t>
  </si>
  <si>
    <t>Rain or Stream</t>
  </si>
  <si>
    <t>Stream</t>
  </si>
  <si>
    <t>Rain</t>
  </si>
  <si>
    <t>Elevation (ft)</t>
  </si>
  <si>
    <t>Precipitation (mm)</t>
  </si>
  <si>
    <t>Discharge (m³/s)</t>
  </si>
  <si>
    <t>Standard Deviation</t>
  </si>
  <si>
    <t>Average</t>
  </si>
  <si>
    <t>Canopy Cover (%)</t>
  </si>
  <si>
    <t>SPC</t>
  </si>
  <si>
    <t>Radon (Bq/m^3)</t>
  </si>
  <si>
    <t>Discharge (ft^3/s)</t>
  </si>
  <si>
    <t>Temperature (C)</t>
  </si>
  <si>
    <t>δ2H (‰)</t>
  </si>
  <si>
    <t>δ18O (‰)</t>
  </si>
  <si>
    <t>Sample Nickname</t>
  </si>
  <si>
    <t>Sample Date</t>
  </si>
  <si>
    <t>Sample name</t>
  </si>
  <si>
    <t>HP108</t>
  </si>
  <si>
    <t>Manoa Innovation Center Bridge/Woodlawn</t>
  </si>
  <si>
    <t>HP111</t>
  </si>
  <si>
    <t>Kaimuki High School</t>
  </si>
  <si>
    <t>HP112</t>
  </si>
  <si>
    <t>Date St Bridge</t>
  </si>
  <si>
    <t>HP113</t>
  </si>
  <si>
    <t>Ala Wai Estuary</t>
  </si>
  <si>
    <t>HP110</t>
  </si>
  <si>
    <t>Dole St Bridge</t>
  </si>
  <si>
    <t>HP109</t>
  </si>
  <si>
    <t>UH Tea Garden</t>
  </si>
  <si>
    <t>HP107</t>
  </si>
  <si>
    <t>Manoa District Park</t>
  </si>
  <si>
    <t>HP106</t>
  </si>
  <si>
    <t>Pawaina Bridge</t>
  </si>
  <si>
    <t>HP105</t>
  </si>
  <si>
    <t>Waaloa</t>
  </si>
  <si>
    <t>18O and dD</t>
  </si>
  <si>
    <t>HP104</t>
  </si>
  <si>
    <t>Manoa Tr- Waihi</t>
  </si>
  <si>
    <t>HP79</t>
  </si>
  <si>
    <t>18O and canopy</t>
  </si>
  <si>
    <t>HP67</t>
  </si>
  <si>
    <t>HP71</t>
  </si>
  <si>
    <t>HP75</t>
  </si>
  <si>
    <t>HP83</t>
  </si>
  <si>
    <t>HP87</t>
  </si>
  <si>
    <t>HP91</t>
  </si>
  <si>
    <t>HP95</t>
  </si>
  <si>
    <t>HP99</t>
  </si>
  <si>
    <t>HP103</t>
  </si>
  <si>
    <t>HP78</t>
  </si>
  <si>
    <t>HP74</t>
  </si>
  <si>
    <t>HP70</t>
  </si>
  <si>
    <t>18O and spc</t>
  </si>
  <si>
    <t>HP66</t>
  </si>
  <si>
    <t>HP90</t>
  </si>
  <si>
    <t>HP86</t>
  </si>
  <si>
    <t>HP82</t>
  </si>
  <si>
    <t>HP94</t>
  </si>
  <si>
    <t>HP98</t>
  </si>
  <si>
    <t>HP102</t>
  </si>
  <si>
    <t>18O and radon</t>
  </si>
  <si>
    <t>HP65</t>
  </si>
  <si>
    <t>HP81</t>
  </si>
  <si>
    <t>HP69</t>
  </si>
  <si>
    <t>HP73</t>
  </si>
  <si>
    <t>HP77</t>
  </si>
  <si>
    <t>HP85</t>
  </si>
  <si>
    <t>HP89</t>
  </si>
  <si>
    <t>HP93</t>
  </si>
  <si>
    <t>HP97</t>
  </si>
  <si>
    <t>HP101</t>
  </si>
  <si>
    <t>HP68</t>
  </si>
  <si>
    <t>18O and discharge</t>
  </si>
  <si>
    <t>HP64</t>
  </si>
  <si>
    <t>HP84</t>
  </si>
  <si>
    <t>HP80</t>
  </si>
  <si>
    <t>HP76</t>
  </si>
  <si>
    <t>HP72</t>
  </si>
  <si>
    <t>HP88</t>
  </si>
  <si>
    <t>HP92</t>
  </si>
  <si>
    <t>HP96</t>
  </si>
  <si>
    <t>HP100</t>
  </si>
  <si>
    <t>HP39</t>
  </si>
  <si>
    <t>18O and temp</t>
  </si>
  <si>
    <t>HP36</t>
  </si>
  <si>
    <t>HP51</t>
  </si>
  <si>
    <t>HP48</t>
  </si>
  <si>
    <t>HP45</t>
  </si>
  <si>
    <t>HP42</t>
  </si>
  <si>
    <t>HP54</t>
  </si>
  <si>
    <t>HP57</t>
  </si>
  <si>
    <t>HP60</t>
  </si>
  <si>
    <t>HP63</t>
  </si>
  <si>
    <t>dD and canopy</t>
  </si>
  <si>
    <t>HP35</t>
  </si>
  <si>
    <t>HP38</t>
  </si>
  <si>
    <t>HP41</t>
  </si>
  <si>
    <t>HP44</t>
  </si>
  <si>
    <t>HP47</t>
  </si>
  <si>
    <t>HP50</t>
  </si>
  <si>
    <t>HP53</t>
  </si>
  <si>
    <t>HP56</t>
  </si>
  <si>
    <t>HP59</t>
  </si>
  <si>
    <t>HP62</t>
  </si>
  <si>
    <t>dD and spc</t>
  </si>
  <si>
    <t>HP34</t>
  </si>
  <si>
    <t>Correlation</t>
  </si>
  <si>
    <t>HP32</t>
  </si>
  <si>
    <t>Base of Manoa Falls</t>
  </si>
  <si>
    <t>HP43</t>
  </si>
  <si>
    <t>HP40</t>
  </si>
  <si>
    <t>HP37</t>
  </si>
  <si>
    <t>HP46</t>
  </si>
  <si>
    <t>HP49</t>
  </si>
  <si>
    <t>HP52</t>
  </si>
  <si>
    <t>HP55</t>
  </si>
  <si>
    <t>HP61</t>
  </si>
  <si>
    <t>HP58</t>
  </si>
  <si>
    <t>dD and radon</t>
  </si>
  <si>
    <t>HP33</t>
  </si>
  <si>
    <t>HP31</t>
  </si>
  <si>
    <t>HP28</t>
  </si>
  <si>
    <t>HP25</t>
  </si>
  <si>
    <t>HP22</t>
  </si>
  <si>
    <t>HP19</t>
  </si>
  <si>
    <t>HP16</t>
  </si>
  <si>
    <t>HP13</t>
  </si>
  <si>
    <t>HP6</t>
  </si>
  <si>
    <t>HP10</t>
  </si>
  <si>
    <t>HP9</t>
  </si>
  <si>
    <t>HP12</t>
  </si>
  <si>
    <t>HP15</t>
  </si>
  <si>
    <t>HP30</t>
  </si>
  <si>
    <t>HP27</t>
  </si>
  <si>
    <t>HP24</t>
  </si>
  <si>
    <t>HP21</t>
  </si>
  <si>
    <t>HP18</t>
  </si>
  <si>
    <t>HP14</t>
  </si>
  <si>
    <t>HP11</t>
  </si>
  <si>
    <t>HP5</t>
  </si>
  <si>
    <t>HP8</t>
  </si>
  <si>
    <t>HP3</t>
  </si>
  <si>
    <t>Manoa Tr - Lua-alaea</t>
  </si>
  <si>
    <t>dD and discharge</t>
  </si>
  <si>
    <t>HP2</t>
  </si>
  <si>
    <t>HP7</t>
  </si>
  <si>
    <t>HP29</t>
  </si>
  <si>
    <t>HP26</t>
  </si>
  <si>
    <t>HP23</t>
  </si>
  <si>
    <t>HP17</t>
  </si>
  <si>
    <t>HP20</t>
  </si>
  <si>
    <t>HP4</t>
  </si>
  <si>
    <t>GMWL</t>
  </si>
  <si>
    <t>dD:temp</t>
  </si>
  <si>
    <t>HP1</t>
  </si>
  <si>
    <t>Qgw/Qr%</t>
  </si>
  <si>
    <t>Evaporation Rate (mm/hr)</t>
  </si>
  <si>
    <t>Rain δ18O</t>
  </si>
  <si>
    <t xml:space="preserve">Date </t>
  </si>
  <si>
    <t>Time Collection</t>
  </si>
  <si>
    <t>Time Sampling</t>
  </si>
  <si>
    <t>Volume Sampled</t>
  </si>
  <si>
    <t>Analysis Sample Date</t>
  </si>
  <si>
    <t>Special Weather Event</t>
  </si>
  <si>
    <t>Additional Notes</t>
  </si>
  <si>
    <t>Weight Bucket</t>
  </si>
  <si>
    <t xml:space="preserve">Vial Slot </t>
  </si>
  <si>
    <r>
      <rPr>
        <b/>
        <i/>
        <sz val="10"/>
        <color theme="1"/>
        <rFont val="Calibri"/>
        <family val="2"/>
      </rPr>
      <t>δ</t>
    </r>
    <r>
      <rPr>
        <b/>
        <i/>
        <vertAlign val="superscript"/>
        <sz val="10"/>
        <color theme="1"/>
        <rFont val="Arial"/>
        <family val="2"/>
      </rPr>
      <t>18</t>
    </r>
    <r>
      <rPr>
        <b/>
        <i/>
        <sz val="10"/>
        <color theme="1"/>
        <rFont val="Arial"/>
        <family val="2"/>
      </rPr>
      <t>O (‰)</t>
    </r>
  </si>
  <si>
    <r>
      <rPr>
        <b/>
        <sz val="10"/>
        <color theme="1"/>
        <rFont val="Arial"/>
        <family val="2"/>
      </rPr>
      <t xml:space="preserve"> </t>
    </r>
    <r>
      <rPr>
        <b/>
        <i/>
        <sz val="10"/>
        <color theme="1"/>
        <rFont val="Calibri"/>
        <family val="2"/>
      </rPr>
      <t>δ</t>
    </r>
    <r>
      <rPr>
        <b/>
        <vertAlign val="superscript"/>
        <sz val="10"/>
        <color theme="1"/>
        <rFont val="Calibri"/>
        <family val="2"/>
      </rPr>
      <t>2</t>
    </r>
    <r>
      <rPr>
        <b/>
        <sz val="10"/>
        <color theme="1"/>
        <rFont val="Calibri"/>
        <family val="2"/>
      </rPr>
      <t>H</t>
    </r>
    <r>
      <rPr>
        <b/>
        <sz val="10"/>
        <color theme="1"/>
        <rFont val="Arial"/>
        <family val="2"/>
      </rPr>
      <t xml:space="preserve"> (‰)</t>
    </r>
  </si>
  <si>
    <r>
      <rPr>
        <b/>
        <i/>
        <sz val="10"/>
        <color theme="1"/>
        <rFont val="Calibri"/>
        <family val="2"/>
      </rPr>
      <t>δ</t>
    </r>
    <r>
      <rPr>
        <b/>
        <i/>
        <vertAlign val="superscript"/>
        <sz val="10"/>
        <color theme="1"/>
        <rFont val="Arial"/>
        <family val="2"/>
      </rPr>
      <t>18</t>
    </r>
    <r>
      <rPr>
        <b/>
        <i/>
        <sz val="10"/>
        <color theme="1"/>
        <rFont val="Arial"/>
        <family val="2"/>
      </rPr>
      <t>O</t>
    </r>
  </si>
  <si>
    <r>
      <rPr>
        <b/>
        <sz val="10"/>
        <color theme="1"/>
        <rFont val="Arial"/>
        <family val="2"/>
      </rPr>
      <t xml:space="preserve"> </t>
    </r>
    <r>
      <rPr>
        <b/>
        <i/>
        <sz val="10"/>
        <color theme="1"/>
        <rFont val="Calibri"/>
        <family val="2"/>
      </rPr>
      <t>δ</t>
    </r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H</t>
    </r>
  </si>
  <si>
    <t>10 ml</t>
  </si>
  <si>
    <t>D8</t>
  </si>
  <si>
    <t>D9</t>
  </si>
  <si>
    <t>20 ml</t>
  </si>
  <si>
    <t>D10</t>
  </si>
  <si>
    <t>E1</t>
  </si>
  <si>
    <t>E2</t>
  </si>
  <si>
    <t>E3</t>
  </si>
  <si>
    <t>Thunderstorm and a lot of rain on (4/3/2023)</t>
  </si>
  <si>
    <t>863.1 g</t>
  </si>
  <si>
    <t>E4</t>
  </si>
  <si>
    <t>310.5 g</t>
  </si>
  <si>
    <t>E5</t>
  </si>
  <si>
    <t>Heavy rain the overnight</t>
  </si>
  <si>
    <t>698.4 g</t>
  </si>
  <si>
    <t>E6</t>
  </si>
  <si>
    <t>278.2 g</t>
  </si>
  <si>
    <t>E7</t>
  </si>
  <si>
    <t>449.2 g</t>
  </si>
  <si>
    <t>E8</t>
  </si>
  <si>
    <t>228.2 g</t>
  </si>
  <si>
    <t>E9</t>
  </si>
  <si>
    <t>E10</t>
  </si>
  <si>
    <t>F1</t>
  </si>
  <si>
    <t>248.0 g</t>
  </si>
  <si>
    <t>F2</t>
  </si>
  <si>
    <t>290.1 g</t>
  </si>
  <si>
    <t>F3</t>
  </si>
  <si>
    <t>351.0 g</t>
  </si>
  <si>
    <t>F4</t>
  </si>
  <si>
    <t>207.0 g</t>
  </si>
  <si>
    <t>F5</t>
  </si>
  <si>
    <t>Tropical storm event (7/19/23)</t>
  </si>
  <si>
    <t>230.8 g</t>
  </si>
  <si>
    <t>F6</t>
  </si>
  <si>
    <t>285.7 g</t>
  </si>
  <si>
    <t>F7</t>
  </si>
  <si>
    <t>282.1 g</t>
  </si>
  <si>
    <t>F8</t>
  </si>
  <si>
    <t>9 AM (10/25)</t>
  </si>
  <si>
    <t>251 g</t>
  </si>
  <si>
    <t>F9</t>
  </si>
  <si>
    <t>235 g</t>
  </si>
  <si>
    <t>F10</t>
  </si>
  <si>
    <t>9 AM (11/30)</t>
  </si>
  <si>
    <t>267.5 g</t>
  </si>
  <si>
    <t>G1</t>
  </si>
  <si>
    <t>A1</t>
  </si>
  <si>
    <t>A2</t>
  </si>
  <si>
    <t>A3</t>
  </si>
  <si>
    <t>A4</t>
  </si>
  <si>
    <t>A5</t>
  </si>
  <si>
    <t>A6</t>
  </si>
  <si>
    <t>A7</t>
  </si>
  <si>
    <t>549.4 g</t>
  </si>
  <si>
    <t>A8</t>
  </si>
  <si>
    <t>Bucket was so full that their might be water in the tube</t>
  </si>
  <si>
    <t>3652.4 g</t>
  </si>
  <si>
    <t>A9</t>
  </si>
  <si>
    <t xml:space="preserve">Potentially suspicious, funnel clogged </t>
  </si>
  <si>
    <t>711.4 g</t>
  </si>
  <si>
    <t>A10</t>
  </si>
  <si>
    <t>453.2 g</t>
  </si>
  <si>
    <t>B1</t>
  </si>
  <si>
    <t>976.8 g</t>
  </si>
  <si>
    <t>B2</t>
  </si>
  <si>
    <t>1165.9 g</t>
  </si>
  <si>
    <t>B3</t>
  </si>
  <si>
    <t>B4</t>
  </si>
  <si>
    <t>B5</t>
  </si>
  <si>
    <t>B6</t>
  </si>
  <si>
    <t>B7</t>
  </si>
  <si>
    <t>1505.2 g</t>
  </si>
  <si>
    <t>B8</t>
  </si>
  <si>
    <t>1331.6 g</t>
  </si>
  <si>
    <t>B9</t>
  </si>
  <si>
    <t>1185.2 g</t>
  </si>
  <si>
    <t>B10</t>
  </si>
  <si>
    <t>794.6 g</t>
  </si>
  <si>
    <t>C1</t>
  </si>
  <si>
    <t>330.2 g</t>
  </si>
  <si>
    <t>C2</t>
  </si>
  <si>
    <t>1694.6 g</t>
  </si>
  <si>
    <t>C3</t>
  </si>
  <si>
    <t>368.9 g</t>
  </si>
  <si>
    <t>C4</t>
  </si>
  <si>
    <t>446.1 g</t>
  </si>
  <si>
    <t>C5</t>
  </si>
  <si>
    <t>1084.0 g</t>
  </si>
  <si>
    <t>C6</t>
  </si>
  <si>
    <t>584.5 g</t>
  </si>
  <si>
    <t>C7</t>
  </si>
  <si>
    <t>401.6 g</t>
  </si>
  <si>
    <t>C8</t>
  </si>
  <si>
    <t>891.3 g</t>
  </si>
  <si>
    <t>C9</t>
  </si>
  <si>
    <t>C10</t>
  </si>
  <si>
    <t>512.3 g</t>
  </si>
  <si>
    <t>D1</t>
  </si>
  <si>
    <t>413.9 g</t>
  </si>
  <si>
    <t>D2</t>
  </si>
  <si>
    <t>D3</t>
  </si>
  <si>
    <t>D4</t>
  </si>
  <si>
    <t>D5</t>
  </si>
  <si>
    <t>D6</t>
  </si>
  <si>
    <t>D7</t>
  </si>
  <si>
    <t>K8</t>
  </si>
  <si>
    <t>K9</t>
  </si>
  <si>
    <t>K10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</si>
  <si>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</si>
  <si>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</si>
  <si>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</si>
  <si>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</si>
  <si>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</si>
  <si>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</si>
  <si>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</si>
  <si>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</si>
  <si>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</si>
  <si>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Rainfall, mL</t>
  </si>
  <si>
    <t>mm Rainfall</t>
  </si>
  <si>
    <r>
      <t>δ</t>
    </r>
    <r>
      <rPr>
        <b/>
        <vertAlign val="superscript"/>
        <sz val="11"/>
        <color theme="1"/>
        <rFont val="Calibri"/>
        <family val="2"/>
      </rPr>
      <t>18</t>
    </r>
    <r>
      <rPr>
        <b/>
        <sz val="11"/>
        <color theme="1"/>
        <rFont val="Calibri"/>
        <family val="2"/>
      </rPr>
      <t>O, ‰</t>
    </r>
  </si>
  <si>
    <r>
      <rPr>
        <b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H, ‰</t>
    </r>
  </si>
  <si>
    <t>SD</t>
  </si>
  <si>
    <t>d-excess</t>
  </si>
  <si>
    <t>Groundwater δ18O</t>
  </si>
  <si>
    <t>Rain δ2H</t>
  </si>
  <si>
    <t>Groundwater δ2H</t>
  </si>
  <si>
    <t>Date Collected</t>
  </si>
  <si>
    <r>
      <t>δ</t>
    </r>
    <r>
      <rPr>
        <b/>
        <i/>
        <sz val="10"/>
        <color theme="1"/>
        <rFont val="Arial"/>
        <family val="2"/>
      </rPr>
      <t>18O (‰)</t>
    </r>
  </si>
  <si>
    <r>
      <t>δ</t>
    </r>
    <r>
      <rPr>
        <b/>
        <sz val="10"/>
        <color theme="1"/>
        <rFont val="Calibri"/>
        <family val="2"/>
      </rPr>
      <t>2H</t>
    </r>
    <r>
      <rPr>
        <b/>
        <sz val="10"/>
        <color theme="1"/>
        <rFont val="Arial"/>
        <family val="2"/>
      </rPr>
      <t xml:space="preserve"> (‰)</t>
    </r>
  </si>
  <si>
    <t xml:space="preserve">3H </t>
  </si>
  <si>
    <t>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</si>
</sst>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m/d/yy\ h:mm\ AM/PM"/>
    <numFmt numFmtId="166" formatCode="mm/dd/yy\ h:mm\ AM/PM"/>
    <numFmt numFmtId="167" formatCode="m/d/yyyy"/>
    <numFmt numFmtId="168" formatCode="mm/dd/yyyy"/>
  </numFmts>
  <fonts count="30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2"/>
      <name val="Aptos Narrow"/>
      <scheme val="minor"/>
    </font>
    <font>
      <b/>
      <sz val="9"/>
      <color theme="1"/>
      <name val="Aptos Narrow"/>
      <family val="2"/>
      <scheme val="minor"/>
    </font>
    <font>
      <b/>
      <i/>
      <vertAlign val="superscript"/>
      <sz val="10"/>
      <color theme="1"/>
      <name val="Arial"/>
      <family val="2"/>
    </font>
    <font>
      <b/>
      <vertAlign val="superscript"/>
      <sz val="10"/>
      <color theme="1"/>
      <name val="Calibri"/>
      <family val="2"/>
    </font>
    <font>
      <b/>
      <sz val="10"/>
      <color theme="1"/>
      <name val="Calibri"/>
      <family val="2"/>
    </font>
    <font>
      <b/>
      <vertAlign val="superscript"/>
      <sz val="10"/>
      <color theme="1"/>
      <name val="Arial"/>
      <family val="2"/>
    </font>
    <font>
      <sz val="10"/>
      <color rgb="FF000000"/>
      <name val="&quot;Arial&quot;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sz val="10"/>
      <name val="Arial"/>
      <family val="2"/>
    </font>
    <font>
      <b/>
      <i/>
      <sz val="11"/>
      <color theme="1"/>
      <name val="Aptos Narrow"/>
      <family val="2"/>
      <scheme val="minor"/>
    </font>
    <font>
      <b/>
      <i/>
      <sz val="10"/>
      <name val="Arial"/>
      <family val="2"/>
    </font>
    <font>
      <sz val="12"/>
      <color rgb="FF000000"/>
      <name val="Aptos Narrow"/>
      <scheme val="minor"/>
    </font>
    <font>
      <b/>
      <sz val="9"/>
      <color theme="1"/>
      <name val="Arial"/>
      <family val="2"/>
    </font>
    <font>
      <b/>
      <i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6" fontId="2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/>
    <xf numFmtId="0" fontId="4" fillId="0" borderId="0" xfId="1" applyFont="1"/>
    <xf numFmtId="0" fontId="2" fillId="3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65" fontId="2" fillId="4" borderId="0" xfId="1" applyNumberFormat="1" applyFont="1" applyFill="1" applyAlignment="1">
      <alignment horizontal="center"/>
    </xf>
    <xf numFmtId="0" fontId="10" fillId="0" borderId="0" xfId="1" applyFont="1" applyAlignment="1">
      <alignment horizontal="center"/>
    </xf>
    <xf numFmtId="0" fontId="9" fillId="0" borderId="4" xfId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164" fontId="11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" fillId="0" borderId="0" xfId="2"/>
    <xf numFmtId="0" fontId="5" fillId="0" borderId="4" xfId="2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14" fontId="7" fillId="6" borderId="0" xfId="2" applyNumberFormat="1" applyFont="1" applyFill="1" applyAlignment="1">
      <alignment horizontal="center"/>
    </xf>
    <xf numFmtId="164" fontId="9" fillId="6" borderId="0" xfId="2" applyNumberFormat="1" applyFont="1" applyFill="1" applyAlignment="1">
      <alignment horizontal="center"/>
    </xf>
    <xf numFmtId="2" fontId="9" fillId="6" borderId="0" xfId="2" applyNumberFormat="1" applyFont="1" applyFill="1" applyAlignment="1">
      <alignment horizontal="center"/>
    </xf>
    <xf numFmtId="0" fontId="9" fillId="6" borderId="0" xfId="2" applyFont="1" applyFill="1" applyAlignment="1">
      <alignment horizontal="center"/>
    </xf>
    <xf numFmtId="0" fontId="21" fillId="0" borderId="0" xfId="2" applyFont="1" applyAlignment="1">
      <alignment horizontal="center"/>
    </xf>
    <xf numFmtId="2" fontId="21" fillId="0" borderId="0" xfId="2" applyNumberFormat="1" applyFont="1" applyAlignment="1">
      <alignment horizontal="center"/>
    </xf>
    <xf numFmtId="0" fontId="21" fillId="0" borderId="0" xfId="2" applyFont="1"/>
    <xf numFmtId="164" fontId="22" fillId="0" borderId="0" xfId="2" applyNumberFormat="1" applyFont="1" applyAlignment="1">
      <alignment horizontal="center"/>
    </xf>
    <xf numFmtId="2" fontId="22" fillId="0" borderId="0" xfId="2" applyNumberFormat="1" applyFont="1" applyAlignment="1">
      <alignment horizontal="center"/>
    </xf>
    <xf numFmtId="164" fontId="21" fillId="0" borderId="0" xfId="2" applyNumberFormat="1" applyFont="1"/>
    <xf numFmtId="22" fontId="1" fillId="0" borderId="0" xfId="2" applyNumberFormat="1" applyAlignment="1">
      <alignment horizontal="center"/>
    </xf>
    <xf numFmtId="164" fontId="1" fillId="0" borderId="0" xfId="2" applyNumberFormat="1" applyAlignment="1">
      <alignment horizontal="center"/>
    </xf>
    <xf numFmtId="2" fontId="1" fillId="0" borderId="0" xfId="2" applyNumberFormat="1" applyAlignment="1">
      <alignment horizontal="center"/>
    </xf>
    <xf numFmtId="0" fontId="1" fillId="0" borderId="0" xfId="2" applyAlignment="1">
      <alignment horizontal="center"/>
    </xf>
    <xf numFmtId="164" fontId="24" fillId="0" borderId="0" xfId="2" applyNumberFormat="1" applyFont="1" applyAlignment="1">
      <alignment horizontal="center"/>
    </xf>
    <xf numFmtId="2" fontId="24" fillId="0" borderId="0" xfId="2" applyNumberFormat="1" applyFont="1" applyAlignment="1">
      <alignment horizontal="center"/>
    </xf>
    <xf numFmtId="164" fontId="25" fillId="0" borderId="0" xfId="2" applyNumberFormat="1" applyFont="1" applyAlignment="1">
      <alignment horizontal="center"/>
    </xf>
    <xf numFmtId="164" fontId="26" fillId="0" borderId="0" xfId="2" applyNumberFormat="1" applyFont="1" applyAlignment="1">
      <alignment horizontal="center"/>
    </xf>
    <xf numFmtId="0" fontId="26" fillId="0" borderId="0" xfId="2" applyFont="1" applyAlignment="1">
      <alignment horizontal="center"/>
    </xf>
    <xf numFmtId="2" fontId="26" fillId="0" borderId="0" xfId="2" applyNumberFormat="1" applyFont="1" applyAlignment="1">
      <alignment horizontal="center"/>
    </xf>
    <xf numFmtId="164" fontId="1" fillId="0" borderId="0" xfId="2" applyNumberFormat="1"/>
    <xf numFmtId="0" fontId="15" fillId="5" borderId="0" xfId="2" applyFont="1" applyFill="1" applyAlignment="1">
      <alignment horizontal="center"/>
    </xf>
    <xf numFmtId="0" fontId="3" fillId="5" borderId="0" xfId="2" applyFont="1" applyFill="1" applyAlignment="1">
      <alignment horizontal="center"/>
    </xf>
    <xf numFmtId="20" fontId="1" fillId="0" borderId="0" xfId="2" applyNumberFormat="1" applyAlignment="1">
      <alignment horizontal="center"/>
    </xf>
    <xf numFmtId="167" fontId="2" fillId="6" borderId="0" xfId="2" applyNumberFormat="1" applyFont="1" applyFill="1" applyAlignment="1">
      <alignment horizontal="center"/>
    </xf>
    <xf numFmtId="0" fontId="2" fillId="6" borderId="0" xfId="2" applyFont="1" applyFill="1" applyAlignment="1">
      <alignment horizontal="center"/>
    </xf>
    <xf numFmtId="20" fontId="7" fillId="6" borderId="0" xfId="2" applyNumberFormat="1" applyFont="1" applyFill="1" applyAlignment="1">
      <alignment horizontal="center"/>
    </xf>
    <xf numFmtId="0" fontId="7" fillId="6" borderId="0" xfId="2" applyFont="1" applyFill="1" applyAlignment="1">
      <alignment horizontal="center"/>
    </xf>
    <xf numFmtId="164" fontId="2" fillId="0" borderId="0" xfId="2" applyNumberFormat="1" applyFont="1" applyAlignment="1">
      <alignment horizontal="center"/>
    </xf>
    <xf numFmtId="14" fontId="2" fillId="6" borderId="0" xfId="2" applyNumberFormat="1" applyFont="1" applyFill="1" applyAlignment="1">
      <alignment horizontal="center"/>
    </xf>
    <xf numFmtId="18" fontId="7" fillId="6" borderId="0" xfId="2" applyNumberFormat="1" applyFont="1" applyFill="1" applyAlignment="1">
      <alignment horizontal="center"/>
    </xf>
    <xf numFmtId="18" fontId="2" fillId="6" borderId="0" xfId="2" applyNumberFormat="1" applyFont="1" applyFill="1" applyAlignment="1">
      <alignment horizontal="center"/>
    </xf>
    <xf numFmtId="167" fontId="20" fillId="6" borderId="0" xfId="2" applyNumberFormat="1" applyFont="1" applyFill="1" applyAlignment="1">
      <alignment horizontal="center"/>
    </xf>
    <xf numFmtId="20" fontId="2" fillId="6" borderId="0" xfId="2" applyNumberFormat="1" applyFont="1" applyFill="1" applyAlignment="1">
      <alignment horizontal="center"/>
    </xf>
    <xf numFmtId="168" fontId="2" fillId="6" borderId="0" xfId="2" applyNumberFormat="1" applyFont="1" applyFill="1" applyAlignment="1">
      <alignment horizontal="center"/>
    </xf>
    <xf numFmtId="167" fontId="2" fillId="0" borderId="0" xfId="2" applyNumberFormat="1" applyFont="1" applyAlignment="1">
      <alignment horizontal="center"/>
    </xf>
    <xf numFmtId="18" fontId="2" fillId="0" borderId="0" xfId="2" applyNumberFormat="1" applyFont="1" applyAlignment="1">
      <alignment horizontal="center"/>
    </xf>
    <xf numFmtId="18" fontId="7" fillId="0" borderId="0" xfId="2" applyNumberFormat="1" applyFont="1" applyAlignment="1">
      <alignment horizontal="center"/>
    </xf>
    <xf numFmtId="0" fontId="2" fillId="0" borderId="0" xfId="2" applyFont="1" applyAlignment="1">
      <alignment horizontal="center"/>
    </xf>
    <xf numFmtId="14" fontId="2" fillId="0" borderId="0" xfId="2" applyNumberFormat="1" applyFont="1" applyAlignment="1">
      <alignment horizontal="center"/>
    </xf>
    <xf numFmtId="0" fontId="7" fillId="0" borderId="0" xfId="0" applyFont="1"/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27" fillId="0" borderId="1" xfId="0" applyFont="1" applyBorder="1" applyAlignment="1">
      <alignment horizontal="center"/>
    </xf>
    <xf numFmtId="0" fontId="11" fillId="0" borderId="1" xfId="0" applyFont="1" applyBorder="1"/>
    <xf numFmtId="0" fontId="13" fillId="0" borderId="1" xfId="0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22" fontId="11" fillId="0" borderId="0" xfId="0" applyNumberFormat="1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29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22" fontId="11" fillId="0" borderId="3" xfId="0" applyNumberFormat="1" applyFont="1" applyBorder="1" applyAlignment="1">
      <alignment horizontal="center" wrapText="1"/>
    </xf>
    <xf numFmtId="0" fontId="11" fillId="0" borderId="7" xfId="0" applyFont="1" applyBorder="1"/>
    <xf numFmtId="22" fontId="11" fillId="0" borderId="3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4" fontId="11" fillId="0" borderId="3" xfId="0" applyNumberFormat="1" applyFont="1" applyBorder="1" applyAlignment="1">
      <alignment horizontal="center"/>
    </xf>
    <xf numFmtId="14" fontId="11" fillId="0" borderId="8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11" fillId="0" borderId="10" xfId="0" applyFont="1" applyBorder="1"/>
    <xf numFmtId="0" fontId="12" fillId="0" borderId="0" xfId="0" applyFont="1" applyAlignment="1">
      <alignment horizontal="center"/>
    </xf>
    <xf numFmtId="0" fontId="4" fillId="5" borderId="0" xfId="2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 2" xfId="1" xr:uid="{BFD4386E-12BB-4DEF-B658-931D32998A55}"/>
    <cellStyle name="Normal 3" xfId="2" xr:uid="{033EE42E-3D3B-E241-8BEC-37E8834FE0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l-GR" b="0">
                <a:solidFill>
                  <a:srgbClr val="757575"/>
                </a:solidFill>
                <a:latin typeface="+mn-lt"/>
              </a:rPr>
              <a:t>δ18</a:t>
            </a:r>
            <a:r>
              <a:rPr lang="en-US" b="0">
                <a:solidFill>
                  <a:srgbClr val="757575"/>
                </a:solidFill>
                <a:latin typeface="+mn-lt"/>
              </a:rPr>
              <a:t>O (‰), </a:t>
            </a:r>
            <a:r>
              <a:rPr lang="el-GR" b="0">
                <a:solidFill>
                  <a:srgbClr val="757575"/>
                </a:solidFill>
                <a:latin typeface="+mn-lt"/>
              </a:rPr>
              <a:t>δ2</a:t>
            </a:r>
            <a:r>
              <a:rPr lang="en-US" b="0">
                <a:solidFill>
                  <a:srgbClr val="757575"/>
                </a:solidFill>
                <a:latin typeface="+mn-lt"/>
              </a:rPr>
              <a:t>H (‰) and Temperature (°C)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'Hailey''s Data'!$D$1:$D$2</c:f>
              <c:strCache>
                <c:ptCount val="2"/>
                <c:pt idx="0">
                  <c:v>-2.6</c:v>
                </c:pt>
                <c:pt idx="1">
                  <c:v>-1.9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'Hailey''s Data'!$H$3:$H$1074</c:f>
              <c:strCache>
                <c:ptCount val="112"/>
                <c:pt idx="0">
                  <c:v>18.5</c:v>
                </c:pt>
                <c:pt idx="1">
                  <c:v>18.5</c:v>
                </c:pt>
                <c:pt idx="2">
                  <c:v>19.4</c:v>
                </c:pt>
                <c:pt idx="3">
                  <c:v>19.6</c:v>
                </c:pt>
                <c:pt idx="4">
                  <c:v>20.2</c:v>
                </c:pt>
                <c:pt idx="5">
                  <c:v>18.4</c:v>
                </c:pt>
                <c:pt idx="6">
                  <c:v>17.7</c:v>
                </c:pt>
                <c:pt idx="7">
                  <c:v>18.7</c:v>
                </c:pt>
                <c:pt idx="8">
                  <c:v>19.3</c:v>
                </c:pt>
                <c:pt idx="9">
                  <c:v>18.9</c:v>
                </c:pt>
                <c:pt idx="10">
                  <c:v>19.3</c:v>
                </c:pt>
                <c:pt idx="11">
                  <c:v>19.5</c:v>
                </c:pt>
                <c:pt idx="12">
                  <c:v>20.3</c:v>
                </c:pt>
                <c:pt idx="13">
                  <c:v>20.2</c:v>
                </c:pt>
                <c:pt idx="14">
                  <c:v>19</c:v>
                </c:pt>
                <c:pt idx="15">
                  <c:v>19.1</c:v>
                </c:pt>
                <c:pt idx="16">
                  <c:v>20.7</c:v>
                </c:pt>
                <c:pt idx="17">
                  <c:v>17.7</c:v>
                </c:pt>
                <c:pt idx="18">
                  <c:v>17.7</c:v>
                </c:pt>
                <c:pt idx="19">
                  <c:v>17.5</c:v>
                </c:pt>
                <c:pt idx="20">
                  <c:v>21.5</c:v>
                </c:pt>
                <c:pt idx="21">
                  <c:v>21.2</c:v>
                </c:pt>
                <c:pt idx="22">
                  <c:v>21.6</c:v>
                </c:pt>
                <c:pt idx="23">
                  <c:v>21.8</c:v>
                </c:pt>
                <c:pt idx="24">
                  <c:v>21.4</c:v>
                </c:pt>
                <c:pt idx="25">
                  <c:v>21.5</c:v>
                </c:pt>
                <c:pt idx="26">
                  <c:v>22.5</c:v>
                </c:pt>
                <c:pt idx="27">
                  <c:v>23.8</c:v>
                </c:pt>
                <c:pt idx="28">
                  <c:v>25</c:v>
                </c:pt>
                <c:pt idx="29">
                  <c:v>20.4</c:v>
                </c:pt>
                <c:pt idx="30">
                  <c:v>24.6</c:v>
                </c:pt>
                <c:pt idx="31">
                  <c:v>26.2</c:v>
                </c:pt>
                <c:pt idx="32">
                  <c:v>23.1</c:v>
                </c:pt>
                <c:pt idx="33">
                  <c:v>21.3</c:v>
                </c:pt>
                <c:pt idx="34">
                  <c:v>21.2</c:v>
                </c:pt>
                <c:pt idx="35">
                  <c:v>23.6</c:v>
                </c:pt>
                <c:pt idx="36">
                  <c:v>20.2</c:v>
                </c:pt>
                <c:pt idx="37">
                  <c:v>20.5</c:v>
                </c:pt>
                <c:pt idx="38">
                  <c:v>22.9</c:v>
                </c:pt>
                <c:pt idx="39">
                  <c:v>19.3</c:v>
                </c:pt>
                <c:pt idx="40">
                  <c:v>19.9</c:v>
                </c:pt>
                <c:pt idx="41">
                  <c:v>29.4</c:v>
                </c:pt>
                <c:pt idx="42">
                  <c:v>30</c:v>
                </c:pt>
                <c:pt idx="43">
                  <c:v>27.7</c:v>
                </c:pt>
                <c:pt idx="44">
                  <c:v>24.5</c:v>
                </c:pt>
                <c:pt idx="45">
                  <c:v>24.4</c:v>
                </c:pt>
                <c:pt idx="46">
                  <c:v>25.3</c:v>
                </c:pt>
                <c:pt idx="47">
                  <c:v>23.9</c:v>
                </c:pt>
                <c:pt idx="48">
                  <c:v>23.4</c:v>
                </c:pt>
                <c:pt idx="49">
                  <c:v>21.1</c:v>
                </c:pt>
                <c:pt idx="50">
                  <c:v>20.5</c:v>
                </c:pt>
                <c:pt idx="51">
                  <c:v>26.9</c:v>
                </c:pt>
                <c:pt idx="52">
                  <c:v>27</c:v>
                </c:pt>
                <c:pt idx="53">
                  <c:v>26</c:v>
                </c:pt>
                <c:pt idx="54">
                  <c:v>23.7</c:v>
                </c:pt>
                <c:pt idx="55">
                  <c:v>22</c:v>
                </c:pt>
                <c:pt idx="56">
                  <c:v>22.7</c:v>
                </c:pt>
                <c:pt idx="57">
                  <c:v>23.1</c:v>
                </c:pt>
                <c:pt idx="58">
                  <c:v>23.1</c:v>
                </c:pt>
                <c:pt idx="59">
                  <c:v>21.7</c:v>
                </c:pt>
                <c:pt idx="60">
                  <c:v>22.3</c:v>
                </c:pt>
                <c:pt idx="61">
                  <c:v>29.4</c:v>
                </c:pt>
                <c:pt idx="62">
                  <c:v>30.2</c:v>
                </c:pt>
                <c:pt idx="63">
                  <c:v>28.1</c:v>
                </c:pt>
                <c:pt idx="64">
                  <c:v>24.7</c:v>
                </c:pt>
                <c:pt idx="65">
                  <c:v>23.1</c:v>
                </c:pt>
                <c:pt idx="66">
                  <c:v>24.2</c:v>
                </c:pt>
                <c:pt idx="67">
                  <c:v>26.6</c:v>
                </c:pt>
                <c:pt idx="68">
                  <c:v>24.3</c:v>
                </c:pt>
                <c:pt idx="69">
                  <c:v>22.6</c:v>
                </c:pt>
                <c:pt idx="70">
                  <c:v>23.3</c:v>
                </c:pt>
                <c:pt idx="71">
                  <c:v>30.2</c:v>
                </c:pt>
                <c:pt idx="72">
                  <c:v>32.4</c:v>
                </c:pt>
                <c:pt idx="73">
                  <c:v>28.3</c:v>
                </c:pt>
                <c:pt idx="74">
                  <c:v>25.8</c:v>
                </c:pt>
                <c:pt idx="75">
                  <c:v>24</c:v>
                </c:pt>
                <c:pt idx="76">
                  <c:v>25.7</c:v>
                </c:pt>
                <c:pt idx="77">
                  <c:v>24.2</c:v>
                </c:pt>
                <c:pt idx="78">
                  <c:v>24.3</c:v>
                </c:pt>
                <c:pt idx="79">
                  <c:v>25.9</c:v>
                </c:pt>
                <c:pt idx="80">
                  <c:v>22.3</c:v>
                </c:pt>
                <c:pt idx="81">
                  <c:v>27.7</c:v>
                </c:pt>
                <c:pt idx="82">
                  <c:v>27.6</c:v>
                </c:pt>
                <c:pt idx="83">
                  <c:v>26.4</c:v>
                </c:pt>
                <c:pt idx="84">
                  <c:v>26.3</c:v>
                </c:pt>
                <c:pt idx="85">
                  <c:v>23.5</c:v>
                </c:pt>
                <c:pt idx="86">
                  <c:v>24.2</c:v>
                </c:pt>
                <c:pt idx="87">
                  <c:v>22.5</c:v>
                </c:pt>
                <c:pt idx="88">
                  <c:v>23.5</c:v>
                </c:pt>
                <c:pt idx="89">
                  <c:v>23.2</c:v>
                </c:pt>
                <c:pt idx="90">
                  <c:v>24.6</c:v>
                </c:pt>
                <c:pt idx="91">
                  <c:v>23</c:v>
                </c:pt>
                <c:pt idx="92">
                  <c:v>22.9</c:v>
                </c:pt>
                <c:pt idx="93">
                  <c:v>22.7</c:v>
                </c:pt>
                <c:pt idx="94">
                  <c:v>22.7</c:v>
                </c:pt>
                <c:pt idx="95">
                  <c:v>22.8</c:v>
                </c:pt>
                <c:pt idx="96">
                  <c:v>22.9</c:v>
                </c:pt>
                <c:pt idx="97">
                  <c:v>20.9</c:v>
                </c:pt>
                <c:pt idx="98">
                  <c:v>20.9</c:v>
                </c:pt>
                <c:pt idx="99">
                  <c:v>20.9</c:v>
                </c:pt>
                <c:pt idx="100">
                  <c:v>22.5</c:v>
                </c:pt>
                <c:pt idx="101">
                  <c:v>19.5</c:v>
                </c:pt>
                <c:pt idx="102">
                  <c:v>22.8</c:v>
                </c:pt>
                <c:pt idx="103">
                  <c:v>22.5</c:v>
                </c:pt>
                <c:pt idx="104">
                  <c:v>23.6</c:v>
                </c:pt>
                <c:pt idx="105">
                  <c:v>21</c:v>
                </c:pt>
                <c:pt idx="106">
                  <c:v>21.2</c:v>
                </c:pt>
                <c:pt idx="107">
                  <c:v>26.2</c:v>
                </c:pt>
                <c:pt idx="108">
                  <c:v>24.4</c:v>
                </c:pt>
                <c:pt idx="109">
                  <c:v>23.8</c:v>
                </c:pt>
                <c:pt idx="110">
                  <c:v>23.8</c:v>
                </c:pt>
                <c:pt idx="111">
                  <c:v>Temperature (C)</c:v>
                </c:pt>
              </c:strCache>
            </c:strRef>
          </c:xVal>
          <c:yVal>
            <c:numRef>
              <c:f>'Hailey''s Data'!$D$3:$D$1074</c:f>
              <c:numCache>
                <c:formatCode>General</c:formatCode>
                <c:ptCount val="1072"/>
                <c:pt idx="0">
                  <c:v>-4</c:v>
                </c:pt>
                <c:pt idx="1">
                  <c:v>-3.9</c:v>
                </c:pt>
                <c:pt idx="2">
                  <c:v>-8.3000000000000007</c:v>
                </c:pt>
                <c:pt idx="3">
                  <c:v>-8.4</c:v>
                </c:pt>
                <c:pt idx="4">
                  <c:v>-6.8</c:v>
                </c:pt>
                <c:pt idx="5">
                  <c:v>-5</c:v>
                </c:pt>
                <c:pt idx="6">
                  <c:v>-3.7</c:v>
                </c:pt>
                <c:pt idx="7">
                  <c:v>-2.6</c:v>
                </c:pt>
                <c:pt idx="8">
                  <c:v>-3.1</c:v>
                </c:pt>
                <c:pt idx="9">
                  <c:v>-3.1</c:v>
                </c:pt>
                <c:pt idx="10">
                  <c:v>-2.5</c:v>
                </c:pt>
                <c:pt idx="11">
                  <c:v>-2.4</c:v>
                </c:pt>
                <c:pt idx="12">
                  <c:v>-2.1</c:v>
                </c:pt>
                <c:pt idx="13">
                  <c:v>-2.1</c:v>
                </c:pt>
                <c:pt idx="14">
                  <c:v>-2.1</c:v>
                </c:pt>
                <c:pt idx="15">
                  <c:v>-2.1</c:v>
                </c:pt>
                <c:pt idx="16">
                  <c:v>-1.3</c:v>
                </c:pt>
                <c:pt idx="17">
                  <c:v>-2.8</c:v>
                </c:pt>
                <c:pt idx="18">
                  <c:v>-2.9</c:v>
                </c:pt>
                <c:pt idx="19">
                  <c:v>-3.1</c:v>
                </c:pt>
                <c:pt idx="20">
                  <c:v>-2.7</c:v>
                </c:pt>
                <c:pt idx="21">
                  <c:v>-2.7</c:v>
                </c:pt>
                <c:pt idx="22">
                  <c:v>-2.2999999999999998</c:v>
                </c:pt>
                <c:pt idx="23">
                  <c:v>-2.2999999999999998</c:v>
                </c:pt>
                <c:pt idx="24">
                  <c:v>-2.1</c:v>
                </c:pt>
                <c:pt idx="25">
                  <c:v>-2.1</c:v>
                </c:pt>
                <c:pt idx="26">
                  <c:v>-2.2000000000000002</c:v>
                </c:pt>
                <c:pt idx="27">
                  <c:v>-2.2000000000000002</c:v>
                </c:pt>
                <c:pt idx="28">
                  <c:v>-1.4</c:v>
                </c:pt>
                <c:pt idx="29">
                  <c:v>-2.6</c:v>
                </c:pt>
                <c:pt idx="30">
                  <c:v>-2.4</c:v>
                </c:pt>
                <c:pt idx="31">
                  <c:v>-2.4</c:v>
                </c:pt>
                <c:pt idx="32">
                  <c:v>-2.4</c:v>
                </c:pt>
                <c:pt idx="33">
                  <c:v>-2.1</c:v>
                </c:pt>
                <c:pt idx="34">
                  <c:v>-2.2999999999999998</c:v>
                </c:pt>
                <c:pt idx="35">
                  <c:v>-2.4</c:v>
                </c:pt>
                <c:pt idx="36">
                  <c:v>-2.6</c:v>
                </c:pt>
                <c:pt idx="37">
                  <c:v>-2.4</c:v>
                </c:pt>
                <c:pt idx="38">
                  <c:v>-2.2999999999999998</c:v>
                </c:pt>
                <c:pt idx="39">
                  <c:v>-3</c:v>
                </c:pt>
                <c:pt idx="40">
                  <c:v>-2.6</c:v>
                </c:pt>
                <c:pt idx="41">
                  <c:v>-0.5</c:v>
                </c:pt>
                <c:pt idx="42">
                  <c:v>-1.3</c:v>
                </c:pt>
                <c:pt idx="43">
                  <c:v>-2.2999999999999998</c:v>
                </c:pt>
                <c:pt idx="44">
                  <c:v>-2.4</c:v>
                </c:pt>
                <c:pt idx="45">
                  <c:v>-2.4</c:v>
                </c:pt>
                <c:pt idx="46">
                  <c:v>-2.2999999999999998</c:v>
                </c:pt>
                <c:pt idx="47">
                  <c:v>-2.2999999999999998</c:v>
                </c:pt>
                <c:pt idx="48">
                  <c:v>-2.1</c:v>
                </c:pt>
                <c:pt idx="49">
                  <c:v>-2.5</c:v>
                </c:pt>
                <c:pt idx="50">
                  <c:v>-2.5</c:v>
                </c:pt>
                <c:pt idx="51">
                  <c:v>-0.3</c:v>
                </c:pt>
                <c:pt idx="52">
                  <c:v>-1.6</c:v>
                </c:pt>
                <c:pt idx="53">
                  <c:v>-2.2999999999999998</c:v>
                </c:pt>
                <c:pt idx="54">
                  <c:v>-2.2999999999999998</c:v>
                </c:pt>
                <c:pt idx="55">
                  <c:v>-2.6</c:v>
                </c:pt>
                <c:pt idx="56">
                  <c:v>-2.4</c:v>
                </c:pt>
                <c:pt idx="57">
                  <c:v>-2.4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-2.2999999999999998</c:v>
                </c:pt>
                <c:pt idx="61">
                  <c:v>-0.3</c:v>
                </c:pt>
                <c:pt idx="62">
                  <c:v>-1.2</c:v>
                </c:pt>
                <c:pt idx="63">
                  <c:v>-2.2999999999999998</c:v>
                </c:pt>
                <c:pt idx="64">
                  <c:v>-2.5</c:v>
                </c:pt>
                <c:pt idx="65">
                  <c:v>-2.8</c:v>
                </c:pt>
                <c:pt idx="66">
                  <c:v>-2.4</c:v>
                </c:pt>
                <c:pt idx="67">
                  <c:v>-2.4</c:v>
                </c:pt>
                <c:pt idx="68">
                  <c:v>-2.4</c:v>
                </c:pt>
                <c:pt idx="69">
                  <c:v>-2.7</c:v>
                </c:pt>
                <c:pt idx="70">
                  <c:v>-2.4</c:v>
                </c:pt>
                <c:pt idx="71">
                  <c:v>-0.4</c:v>
                </c:pt>
                <c:pt idx="72">
                  <c:v>-0.9</c:v>
                </c:pt>
                <c:pt idx="73">
                  <c:v>-2.4</c:v>
                </c:pt>
                <c:pt idx="74">
                  <c:v>-2.4</c:v>
                </c:pt>
                <c:pt idx="75">
                  <c:v>-2.4</c:v>
                </c:pt>
                <c:pt idx="76">
                  <c:v>-2.2000000000000002</c:v>
                </c:pt>
                <c:pt idx="77">
                  <c:v>-2.5</c:v>
                </c:pt>
                <c:pt idx="78">
                  <c:v>-1.8</c:v>
                </c:pt>
                <c:pt idx="79">
                  <c:v>-2.4</c:v>
                </c:pt>
                <c:pt idx="80">
                  <c:v>-2.6</c:v>
                </c:pt>
                <c:pt idx="81">
                  <c:v>-0.4</c:v>
                </c:pt>
                <c:pt idx="82">
                  <c:v>-0.9</c:v>
                </c:pt>
                <c:pt idx="83">
                  <c:v>-2.2999999999999998</c:v>
                </c:pt>
                <c:pt idx="84">
                  <c:v>-2.2000000000000002</c:v>
                </c:pt>
                <c:pt idx="85">
                  <c:v>-2.4</c:v>
                </c:pt>
                <c:pt idx="86">
                  <c:v>-2.4</c:v>
                </c:pt>
                <c:pt idx="87">
                  <c:v>-2.4</c:v>
                </c:pt>
                <c:pt idx="88">
                  <c:v>-2.1</c:v>
                </c:pt>
                <c:pt idx="89">
                  <c:v>-2.6</c:v>
                </c:pt>
                <c:pt idx="90">
                  <c:v>-2.5</c:v>
                </c:pt>
                <c:pt idx="91">
                  <c:v>-3.4</c:v>
                </c:pt>
                <c:pt idx="92">
                  <c:v>-5.6</c:v>
                </c:pt>
                <c:pt idx="93">
                  <c:v>-2.7</c:v>
                </c:pt>
                <c:pt idx="94">
                  <c:v>-2.5</c:v>
                </c:pt>
                <c:pt idx="95">
                  <c:v>-2.5</c:v>
                </c:pt>
                <c:pt idx="96">
                  <c:v>-2.5</c:v>
                </c:pt>
                <c:pt idx="97">
                  <c:v>-3.9</c:v>
                </c:pt>
                <c:pt idx="98">
                  <c:v>-3.8</c:v>
                </c:pt>
                <c:pt idx="99">
                  <c:v>-2.8</c:v>
                </c:pt>
                <c:pt idx="100">
                  <c:v>-2.4</c:v>
                </c:pt>
                <c:pt idx="101">
                  <c:v>-2.4</c:v>
                </c:pt>
                <c:pt idx="102">
                  <c:v>-2.2000000000000002</c:v>
                </c:pt>
                <c:pt idx="103">
                  <c:v>-2.6</c:v>
                </c:pt>
                <c:pt idx="104">
                  <c:v>-2.4</c:v>
                </c:pt>
                <c:pt idx="105">
                  <c:v>-1.6</c:v>
                </c:pt>
                <c:pt idx="106">
                  <c:v>-1.5</c:v>
                </c:pt>
                <c:pt idx="107">
                  <c:v>-1.6</c:v>
                </c:pt>
                <c:pt idx="108">
                  <c:v>-2.4</c:v>
                </c:pt>
                <c:pt idx="109">
                  <c:v>-2.2999999999999998</c:v>
                </c:pt>
                <c:pt idx="110">
                  <c:v>-2.4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43-4C07-A322-F9D519E7EDCE}"/>
            </c:ext>
          </c:extLst>
        </c:ser>
        <c:ser>
          <c:idx val="1"/>
          <c:order val="1"/>
          <c:tx>
            <c:strRef>
              <c:f>'Hailey''s Data'!$E$1:$E$2</c:f>
              <c:strCache>
                <c:ptCount val="2"/>
                <c:pt idx="0">
                  <c:v>-6.7</c:v>
                </c:pt>
                <c:pt idx="1">
                  <c:v>-2.2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'Hailey''s Data'!$H$3:$H$1074</c:f>
              <c:strCache>
                <c:ptCount val="112"/>
                <c:pt idx="0">
                  <c:v>18.5</c:v>
                </c:pt>
                <c:pt idx="1">
                  <c:v>18.5</c:v>
                </c:pt>
                <c:pt idx="2">
                  <c:v>19.4</c:v>
                </c:pt>
                <c:pt idx="3">
                  <c:v>19.6</c:v>
                </c:pt>
                <c:pt idx="4">
                  <c:v>20.2</c:v>
                </c:pt>
                <c:pt idx="5">
                  <c:v>18.4</c:v>
                </c:pt>
                <c:pt idx="6">
                  <c:v>17.7</c:v>
                </c:pt>
                <c:pt idx="7">
                  <c:v>18.7</c:v>
                </c:pt>
                <c:pt idx="8">
                  <c:v>19.3</c:v>
                </c:pt>
                <c:pt idx="9">
                  <c:v>18.9</c:v>
                </c:pt>
                <c:pt idx="10">
                  <c:v>19.3</c:v>
                </c:pt>
                <c:pt idx="11">
                  <c:v>19.5</c:v>
                </c:pt>
                <c:pt idx="12">
                  <c:v>20.3</c:v>
                </c:pt>
                <c:pt idx="13">
                  <c:v>20.2</c:v>
                </c:pt>
                <c:pt idx="14">
                  <c:v>19</c:v>
                </c:pt>
                <c:pt idx="15">
                  <c:v>19.1</c:v>
                </c:pt>
                <c:pt idx="16">
                  <c:v>20.7</c:v>
                </c:pt>
                <c:pt idx="17">
                  <c:v>17.7</c:v>
                </c:pt>
                <c:pt idx="18">
                  <c:v>17.7</c:v>
                </c:pt>
                <c:pt idx="19">
                  <c:v>17.5</c:v>
                </c:pt>
                <c:pt idx="20">
                  <c:v>21.5</c:v>
                </c:pt>
                <c:pt idx="21">
                  <c:v>21.2</c:v>
                </c:pt>
                <c:pt idx="22">
                  <c:v>21.6</c:v>
                </c:pt>
                <c:pt idx="23">
                  <c:v>21.8</c:v>
                </c:pt>
                <c:pt idx="24">
                  <c:v>21.4</c:v>
                </c:pt>
                <c:pt idx="25">
                  <c:v>21.5</c:v>
                </c:pt>
                <c:pt idx="26">
                  <c:v>22.5</c:v>
                </c:pt>
                <c:pt idx="27">
                  <c:v>23.8</c:v>
                </c:pt>
                <c:pt idx="28">
                  <c:v>25</c:v>
                </c:pt>
                <c:pt idx="29">
                  <c:v>20.4</c:v>
                </c:pt>
                <c:pt idx="30">
                  <c:v>24.6</c:v>
                </c:pt>
                <c:pt idx="31">
                  <c:v>26.2</c:v>
                </c:pt>
                <c:pt idx="32">
                  <c:v>23.1</c:v>
                </c:pt>
                <c:pt idx="33">
                  <c:v>21.3</c:v>
                </c:pt>
                <c:pt idx="34">
                  <c:v>21.2</c:v>
                </c:pt>
                <c:pt idx="35">
                  <c:v>23.6</c:v>
                </c:pt>
                <c:pt idx="36">
                  <c:v>20.2</c:v>
                </c:pt>
                <c:pt idx="37">
                  <c:v>20.5</c:v>
                </c:pt>
                <c:pt idx="38">
                  <c:v>22.9</c:v>
                </c:pt>
                <c:pt idx="39">
                  <c:v>19.3</c:v>
                </c:pt>
                <c:pt idx="40">
                  <c:v>19.9</c:v>
                </c:pt>
                <c:pt idx="41">
                  <c:v>29.4</c:v>
                </c:pt>
                <c:pt idx="42">
                  <c:v>30</c:v>
                </c:pt>
                <c:pt idx="43">
                  <c:v>27.7</c:v>
                </c:pt>
                <c:pt idx="44">
                  <c:v>24.5</c:v>
                </c:pt>
                <c:pt idx="45">
                  <c:v>24.4</c:v>
                </c:pt>
                <c:pt idx="46">
                  <c:v>25.3</c:v>
                </c:pt>
                <c:pt idx="47">
                  <c:v>23.9</c:v>
                </c:pt>
                <c:pt idx="48">
                  <c:v>23.4</c:v>
                </c:pt>
                <c:pt idx="49">
                  <c:v>21.1</c:v>
                </c:pt>
                <c:pt idx="50">
                  <c:v>20.5</c:v>
                </c:pt>
                <c:pt idx="51">
                  <c:v>26.9</c:v>
                </c:pt>
                <c:pt idx="52">
                  <c:v>27</c:v>
                </c:pt>
                <c:pt idx="53">
                  <c:v>26</c:v>
                </c:pt>
                <c:pt idx="54">
                  <c:v>23.7</c:v>
                </c:pt>
                <c:pt idx="55">
                  <c:v>22</c:v>
                </c:pt>
                <c:pt idx="56">
                  <c:v>22.7</c:v>
                </c:pt>
                <c:pt idx="57">
                  <c:v>23.1</c:v>
                </c:pt>
                <c:pt idx="58">
                  <c:v>23.1</c:v>
                </c:pt>
                <c:pt idx="59">
                  <c:v>21.7</c:v>
                </c:pt>
                <c:pt idx="60">
                  <c:v>22.3</c:v>
                </c:pt>
                <c:pt idx="61">
                  <c:v>29.4</c:v>
                </c:pt>
                <c:pt idx="62">
                  <c:v>30.2</c:v>
                </c:pt>
                <c:pt idx="63">
                  <c:v>28.1</c:v>
                </c:pt>
                <c:pt idx="64">
                  <c:v>24.7</c:v>
                </c:pt>
                <c:pt idx="65">
                  <c:v>23.1</c:v>
                </c:pt>
                <c:pt idx="66">
                  <c:v>24.2</c:v>
                </c:pt>
                <c:pt idx="67">
                  <c:v>26.6</c:v>
                </c:pt>
                <c:pt idx="68">
                  <c:v>24.3</c:v>
                </c:pt>
                <c:pt idx="69">
                  <c:v>22.6</c:v>
                </c:pt>
                <c:pt idx="70">
                  <c:v>23.3</c:v>
                </c:pt>
                <c:pt idx="71">
                  <c:v>30.2</c:v>
                </c:pt>
                <c:pt idx="72">
                  <c:v>32.4</c:v>
                </c:pt>
                <c:pt idx="73">
                  <c:v>28.3</c:v>
                </c:pt>
                <c:pt idx="74">
                  <c:v>25.8</c:v>
                </c:pt>
                <c:pt idx="75">
                  <c:v>24</c:v>
                </c:pt>
                <c:pt idx="76">
                  <c:v>25.7</c:v>
                </c:pt>
                <c:pt idx="77">
                  <c:v>24.2</c:v>
                </c:pt>
                <c:pt idx="78">
                  <c:v>24.3</c:v>
                </c:pt>
                <c:pt idx="79">
                  <c:v>25.9</c:v>
                </c:pt>
                <c:pt idx="80">
                  <c:v>22.3</c:v>
                </c:pt>
                <c:pt idx="81">
                  <c:v>27.7</c:v>
                </c:pt>
                <c:pt idx="82">
                  <c:v>27.6</c:v>
                </c:pt>
                <c:pt idx="83">
                  <c:v>26.4</c:v>
                </c:pt>
                <c:pt idx="84">
                  <c:v>26.3</c:v>
                </c:pt>
                <c:pt idx="85">
                  <c:v>23.5</c:v>
                </c:pt>
                <c:pt idx="86">
                  <c:v>24.2</c:v>
                </c:pt>
                <c:pt idx="87">
                  <c:v>22.5</c:v>
                </c:pt>
                <c:pt idx="88">
                  <c:v>23.5</c:v>
                </c:pt>
                <c:pt idx="89">
                  <c:v>23.2</c:v>
                </c:pt>
                <c:pt idx="90">
                  <c:v>24.6</c:v>
                </c:pt>
                <c:pt idx="91">
                  <c:v>23</c:v>
                </c:pt>
                <c:pt idx="92">
                  <c:v>22.9</c:v>
                </c:pt>
                <c:pt idx="93">
                  <c:v>22.7</c:v>
                </c:pt>
                <c:pt idx="94">
                  <c:v>22.7</c:v>
                </c:pt>
                <c:pt idx="95">
                  <c:v>22.8</c:v>
                </c:pt>
                <c:pt idx="96">
                  <c:v>22.9</c:v>
                </c:pt>
                <c:pt idx="97">
                  <c:v>20.9</c:v>
                </c:pt>
                <c:pt idx="98">
                  <c:v>20.9</c:v>
                </c:pt>
                <c:pt idx="99">
                  <c:v>20.9</c:v>
                </c:pt>
                <c:pt idx="100">
                  <c:v>22.5</c:v>
                </c:pt>
                <c:pt idx="101">
                  <c:v>19.5</c:v>
                </c:pt>
                <c:pt idx="102">
                  <c:v>22.8</c:v>
                </c:pt>
                <c:pt idx="103">
                  <c:v>22.5</c:v>
                </c:pt>
                <c:pt idx="104">
                  <c:v>23.6</c:v>
                </c:pt>
                <c:pt idx="105">
                  <c:v>21</c:v>
                </c:pt>
                <c:pt idx="106">
                  <c:v>21.2</c:v>
                </c:pt>
                <c:pt idx="107">
                  <c:v>26.2</c:v>
                </c:pt>
                <c:pt idx="108">
                  <c:v>24.4</c:v>
                </c:pt>
                <c:pt idx="109">
                  <c:v>23.8</c:v>
                </c:pt>
                <c:pt idx="110">
                  <c:v>23.8</c:v>
                </c:pt>
                <c:pt idx="111">
                  <c:v>Temperature (C)</c:v>
                </c:pt>
              </c:strCache>
            </c:strRef>
          </c:xVal>
          <c:yVal>
            <c:numRef>
              <c:f>'Hailey''s Data'!$E$3:$E$1074</c:f>
              <c:numCache>
                <c:formatCode>General</c:formatCode>
                <c:ptCount val="1072"/>
                <c:pt idx="0">
                  <c:v>-21.4</c:v>
                </c:pt>
                <c:pt idx="1">
                  <c:v>-20.6</c:v>
                </c:pt>
                <c:pt idx="2">
                  <c:v>-57.5</c:v>
                </c:pt>
                <c:pt idx="3">
                  <c:v>-58.3</c:v>
                </c:pt>
                <c:pt idx="4">
                  <c:v>-46.3</c:v>
                </c:pt>
                <c:pt idx="5">
                  <c:v>-26.9</c:v>
                </c:pt>
                <c:pt idx="6">
                  <c:v>-14.1</c:v>
                </c:pt>
                <c:pt idx="7">
                  <c:v>-7.6</c:v>
                </c:pt>
                <c:pt idx="8">
                  <c:v>-10.6</c:v>
                </c:pt>
                <c:pt idx="9">
                  <c:v>-10.3</c:v>
                </c:pt>
                <c:pt idx="10">
                  <c:v>-6.5</c:v>
                </c:pt>
                <c:pt idx="11">
                  <c:v>-5.7</c:v>
                </c:pt>
                <c:pt idx="12">
                  <c:v>-4.2</c:v>
                </c:pt>
                <c:pt idx="13">
                  <c:v>-4.0999999999999996</c:v>
                </c:pt>
                <c:pt idx="14">
                  <c:v>-4.4000000000000004</c:v>
                </c:pt>
                <c:pt idx="15">
                  <c:v>-4.2</c:v>
                </c:pt>
                <c:pt idx="16">
                  <c:v>-1.6</c:v>
                </c:pt>
                <c:pt idx="17">
                  <c:v>-6.4</c:v>
                </c:pt>
                <c:pt idx="18">
                  <c:v>-6.7</c:v>
                </c:pt>
                <c:pt idx="19">
                  <c:v>-10.3</c:v>
                </c:pt>
                <c:pt idx="20">
                  <c:v>-6.9</c:v>
                </c:pt>
                <c:pt idx="21">
                  <c:v>-6.9</c:v>
                </c:pt>
                <c:pt idx="22">
                  <c:v>-4.5999999999999996</c:v>
                </c:pt>
                <c:pt idx="23">
                  <c:v>-4.5</c:v>
                </c:pt>
                <c:pt idx="24">
                  <c:v>-3.8</c:v>
                </c:pt>
                <c:pt idx="25">
                  <c:v>-3.6</c:v>
                </c:pt>
                <c:pt idx="26">
                  <c:v>-4.5999999999999996</c:v>
                </c:pt>
                <c:pt idx="27">
                  <c:v>-4.7</c:v>
                </c:pt>
                <c:pt idx="28">
                  <c:v>-2</c:v>
                </c:pt>
                <c:pt idx="29">
                  <c:v>-5.4</c:v>
                </c:pt>
                <c:pt idx="30">
                  <c:v>-4.7</c:v>
                </c:pt>
                <c:pt idx="31">
                  <c:v>-4.4000000000000004</c:v>
                </c:pt>
                <c:pt idx="32">
                  <c:v>-4.5999999999999996</c:v>
                </c:pt>
                <c:pt idx="33">
                  <c:v>-4.5</c:v>
                </c:pt>
                <c:pt idx="34">
                  <c:v>-4.3</c:v>
                </c:pt>
                <c:pt idx="35">
                  <c:v>-4.0999999999999996</c:v>
                </c:pt>
                <c:pt idx="36">
                  <c:v>-0.2</c:v>
                </c:pt>
                <c:pt idx="37">
                  <c:v>-0.4</c:v>
                </c:pt>
                <c:pt idx="38">
                  <c:v>0.3</c:v>
                </c:pt>
                <c:pt idx="39">
                  <c:v>-4.3</c:v>
                </c:pt>
                <c:pt idx="40">
                  <c:v>-3.8</c:v>
                </c:pt>
                <c:pt idx="41">
                  <c:v>0.6</c:v>
                </c:pt>
                <c:pt idx="42">
                  <c:v>-1.9</c:v>
                </c:pt>
                <c:pt idx="43">
                  <c:v>-4.4000000000000004</c:v>
                </c:pt>
                <c:pt idx="44">
                  <c:v>-4.9000000000000004</c:v>
                </c:pt>
                <c:pt idx="45">
                  <c:v>-5.4</c:v>
                </c:pt>
                <c:pt idx="46">
                  <c:v>-4</c:v>
                </c:pt>
                <c:pt idx="47">
                  <c:v>-4.0999999999999996</c:v>
                </c:pt>
                <c:pt idx="48">
                  <c:v>-3.1</c:v>
                </c:pt>
                <c:pt idx="49">
                  <c:v>-4.2</c:v>
                </c:pt>
                <c:pt idx="50">
                  <c:v>-4.2</c:v>
                </c:pt>
                <c:pt idx="51">
                  <c:v>1.2</c:v>
                </c:pt>
                <c:pt idx="52">
                  <c:v>-2.6</c:v>
                </c:pt>
                <c:pt idx="53">
                  <c:v>-4.5999999999999996</c:v>
                </c:pt>
                <c:pt idx="54">
                  <c:v>-4.7</c:v>
                </c:pt>
                <c:pt idx="55">
                  <c:v>-5.3</c:v>
                </c:pt>
                <c:pt idx="56">
                  <c:v>-4.5999999999999996</c:v>
                </c:pt>
                <c:pt idx="57">
                  <c:v>-4.5999999999999996</c:v>
                </c:pt>
                <c:pt idx="58">
                  <c:v>-4.4000000000000004</c:v>
                </c:pt>
                <c:pt idx="59">
                  <c:v>-4.8</c:v>
                </c:pt>
                <c:pt idx="60">
                  <c:v>-4.0999999999999996</c:v>
                </c:pt>
                <c:pt idx="61">
                  <c:v>0.3</c:v>
                </c:pt>
                <c:pt idx="62">
                  <c:v>-2.1</c:v>
                </c:pt>
                <c:pt idx="63">
                  <c:v>-5.3</c:v>
                </c:pt>
                <c:pt idx="64">
                  <c:v>-6</c:v>
                </c:pt>
                <c:pt idx="65">
                  <c:v>-7.5</c:v>
                </c:pt>
                <c:pt idx="66">
                  <c:v>-5.0999999999999996</c:v>
                </c:pt>
                <c:pt idx="67">
                  <c:v>-5.3</c:v>
                </c:pt>
                <c:pt idx="68">
                  <c:v>-5.2</c:v>
                </c:pt>
                <c:pt idx="69">
                  <c:v>-6.6</c:v>
                </c:pt>
                <c:pt idx="70">
                  <c:v>-5.2</c:v>
                </c:pt>
                <c:pt idx="71">
                  <c:v>0.4</c:v>
                </c:pt>
                <c:pt idx="72">
                  <c:v>-1.2</c:v>
                </c:pt>
                <c:pt idx="73">
                  <c:v>-5.5</c:v>
                </c:pt>
                <c:pt idx="74">
                  <c:v>-6.2</c:v>
                </c:pt>
                <c:pt idx="75">
                  <c:v>-5.2</c:v>
                </c:pt>
                <c:pt idx="76">
                  <c:v>-5.5</c:v>
                </c:pt>
                <c:pt idx="77">
                  <c:v>-5.6</c:v>
                </c:pt>
                <c:pt idx="78">
                  <c:v>-2.8</c:v>
                </c:pt>
                <c:pt idx="79">
                  <c:v>-6</c:v>
                </c:pt>
                <c:pt idx="80">
                  <c:v>-6.1</c:v>
                </c:pt>
                <c:pt idx="81">
                  <c:v>0.9</c:v>
                </c:pt>
                <c:pt idx="82">
                  <c:v>-0.7</c:v>
                </c:pt>
                <c:pt idx="83">
                  <c:v>-4.2</c:v>
                </c:pt>
                <c:pt idx="84">
                  <c:v>-3.3</c:v>
                </c:pt>
                <c:pt idx="85">
                  <c:v>-4.5999999999999996</c:v>
                </c:pt>
                <c:pt idx="86">
                  <c:v>-5.2</c:v>
                </c:pt>
                <c:pt idx="87">
                  <c:v>-3.6</c:v>
                </c:pt>
                <c:pt idx="88">
                  <c:v>-3.2</c:v>
                </c:pt>
                <c:pt idx="89">
                  <c:v>-5.6</c:v>
                </c:pt>
                <c:pt idx="90">
                  <c:v>-5.0999999999999996</c:v>
                </c:pt>
                <c:pt idx="91">
                  <c:v>-14.6</c:v>
                </c:pt>
                <c:pt idx="92">
                  <c:v>-31.9</c:v>
                </c:pt>
                <c:pt idx="93">
                  <c:v>-6.7</c:v>
                </c:pt>
                <c:pt idx="94">
                  <c:v>-6.1</c:v>
                </c:pt>
                <c:pt idx="95">
                  <c:v>-5.4</c:v>
                </c:pt>
                <c:pt idx="96">
                  <c:v>-5.4</c:v>
                </c:pt>
                <c:pt idx="97">
                  <c:v>-18.899999999999999</c:v>
                </c:pt>
                <c:pt idx="98">
                  <c:v>-18.399999999999999</c:v>
                </c:pt>
                <c:pt idx="99">
                  <c:v>-6.6</c:v>
                </c:pt>
                <c:pt idx="100">
                  <c:v>-5.0999999999999996</c:v>
                </c:pt>
                <c:pt idx="101">
                  <c:v>-2.5</c:v>
                </c:pt>
                <c:pt idx="102">
                  <c:v>-3.7</c:v>
                </c:pt>
                <c:pt idx="103">
                  <c:v>-5.6</c:v>
                </c:pt>
                <c:pt idx="104">
                  <c:v>-4.8</c:v>
                </c:pt>
                <c:pt idx="105">
                  <c:v>1.3</c:v>
                </c:pt>
                <c:pt idx="106">
                  <c:v>2.1</c:v>
                </c:pt>
                <c:pt idx="107">
                  <c:v>-0.9</c:v>
                </c:pt>
                <c:pt idx="108">
                  <c:v>-3.2</c:v>
                </c:pt>
                <c:pt idx="109">
                  <c:v>-2.5</c:v>
                </c:pt>
                <c:pt idx="110">
                  <c:v>-3.1</c:v>
                </c:pt>
                <c:pt idx="1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43-4C07-A322-F9D519E7EDCE}"/>
            </c:ext>
          </c:extLst>
        </c:ser>
        <c:ser>
          <c:idx val="2"/>
          <c:order val="2"/>
          <c:tx>
            <c:strRef>
              <c:f>'Hailey''s Data'!$AA$1:$AA$2</c:f>
              <c:strCache>
                <c:ptCount val="2"/>
                <c:pt idx="0">
                  <c:v>GMWL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strRef>
              <c:f>'Hailey''s Data'!$H$3:$H$1074</c:f>
              <c:strCache>
                <c:ptCount val="112"/>
                <c:pt idx="0">
                  <c:v>18.5</c:v>
                </c:pt>
                <c:pt idx="1">
                  <c:v>18.5</c:v>
                </c:pt>
                <c:pt idx="2">
                  <c:v>19.4</c:v>
                </c:pt>
                <c:pt idx="3">
                  <c:v>19.6</c:v>
                </c:pt>
                <c:pt idx="4">
                  <c:v>20.2</c:v>
                </c:pt>
                <c:pt idx="5">
                  <c:v>18.4</c:v>
                </c:pt>
                <c:pt idx="6">
                  <c:v>17.7</c:v>
                </c:pt>
                <c:pt idx="7">
                  <c:v>18.7</c:v>
                </c:pt>
                <c:pt idx="8">
                  <c:v>19.3</c:v>
                </c:pt>
                <c:pt idx="9">
                  <c:v>18.9</c:v>
                </c:pt>
                <c:pt idx="10">
                  <c:v>19.3</c:v>
                </c:pt>
                <c:pt idx="11">
                  <c:v>19.5</c:v>
                </c:pt>
                <c:pt idx="12">
                  <c:v>20.3</c:v>
                </c:pt>
                <c:pt idx="13">
                  <c:v>20.2</c:v>
                </c:pt>
                <c:pt idx="14">
                  <c:v>19</c:v>
                </c:pt>
                <c:pt idx="15">
                  <c:v>19.1</c:v>
                </c:pt>
                <c:pt idx="16">
                  <c:v>20.7</c:v>
                </c:pt>
                <c:pt idx="17">
                  <c:v>17.7</c:v>
                </c:pt>
                <c:pt idx="18">
                  <c:v>17.7</c:v>
                </c:pt>
                <c:pt idx="19">
                  <c:v>17.5</c:v>
                </c:pt>
                <c:pt idx="20">
                  <c:v>21.5</c:v>
                </c:pt>
                <c:pt idx="21">
                  <c:v>21.2</c:v>
                </c:pt>
                <c:pt idx="22">
                  <c:v>21.6</c:v>
                </c:pt>
                <c:pt idx="23">
                  <c:v>21.8</c:v>
                </c:pt>
                <c:pt idx="24">
                  <c:v>21.4</c:v>
                </c:pt>
                <c:pt idx="25">
                  <c:v>21.5</c:v>
                </c:pt>
                <c:pt idx="26">
                  <c:v>22.5</c:v>
                </c:pt>
                <c:pt idx="27">
                  <c:v>23.8</c:v>
                </c:pt>
                <c:pt idx="28">
                  <c:v>25</c:v>
                </c:pt>
                <c:pt idx="29">
                  <c:v>20.4</c:v>
                </c:pt>
                <c:pt idx="30">
                  <c:v>24.6</c:v>
                </c:pt>
                <c:pt idx="31">
                  <c:v>26.2</c:v>
                </c:pt>
                <c:pt idx="32">
                  <c:v>23.1</c:v>
                </c:pt>
                <c:pt idx="33">
                  <c:v>21.3</c:v>
                </c:pt>
                <c:pt idx="34">
                  <c:v>21.2</c:v>
                </c:pt>
                <c:pt idx="35">
                  <c:v>23.6</c:v>
                </c:pt>
                <c:pt idx="36">
                  <c:v>20.2</c:v>
                </c:pt>
                <c:pt idx="37">
                  <c:v>20.5</c:v>
                </c:pt>
                <c:pt idx="38">
                  <c:v>22.9</c:v>
                </c:pt>
                <c:pt idx="39">
                  <c:v>19.3</c:v>
                </c:pt>
                <c:pt idx="40">
                  <c:v>19.9</c:v>
                </c:pt>
                <c:pt idx="41">
                  <c:v>29.4</c:v>
                </c:pt>
                <c:pt idx="42">
                  <c:v>30</c:v>
                </c:pt>
                <c:pt idx="43">
                  <c:v>27.7</c:v>
                </c:pt>
                <c:pt idx="44">
                  <c:v>24.5</c:v>
                </c:pt>
                <c:pt idx="45">
                  <c:v>24.4</c:v>
                </c:pt>
                <c:pt idx="46">
                  <c:v>25.3</c:v>
                </c:pt>
                <c:pt idx="47">
                  <c:v>23.9</c:v>
                </c:pt>
                <c:pt idx="48">
                  <c:v>23.4</c:v>
                </c:pt>
                <c:pt idx="49">
                  <c:v>21.1</c:v>
                </c:pt>
                <c:pt idx="50">
                  <c:v>20.5</c:v>
                </c:pt>
                <c:pt idx="51">
                  <c:v>26.9</c:v>
                </c:pt>
                <c:pt idx="52">
                  <c:v>27</c:v>
                </c:pt>
                <c:pt idx="53">
                  <c:v>26</c:v>
                </c:pt>
                <c:pt idx="54">
                  <c:v>23.7</c:v>
                </c:pt>
                <c:pt idx="55">
                  <c:v>22</c:v>
                </c:pt>
                <c:pt idx="56">
                  <c:v>22.7</c:v>
                </c:pt>
                <c:pt idx="57">
                  <c:v>23.1</c:v>
                </c:pt>
                <c:pt idx="58">
                  <c:v>23.1</c:v>
                </c:pt>
                <c:pt idx="59">
                  <c:v>21.7</c:v>
                </c:pt>
                <c:pt idx="60">
                  <c:v>22.3</c:v>
                </c:pt>
                <c:pt idx="61">
                  <c:v>29.4</c:v>
                </c:pt>
                <c:pt idx="62">
                  <c:v>30.2</c:v>
                </c:pt>
                <c:pt idx="63">
                  <c:v>28.1</c:v>
                </c:pt>
                <c:pt idx="64">
                  <c:v>24.7</c:v>
                </c:pt>
                <c:pt idx="65">
                  <c:v>23.1</c:v>
                </c:pt>
                <c:pt idx="66">
                  <c:v>24.2</c:v>
                </c:pt>
                <c:pt idx="67">
                  <c:v>26.6</c:v>
                </c:pt>
                <c:pt idx="68">
                  <c:v>24.3</c:v>
                </c:pt>
                <c:pt idx="69">
                  <c:v>22.6</c:v>
                </c:pt>
                <c:pt idx="70">
                  <c:v>23.3</c:v>
                </c:pt>
                <c:pt idx="71">
                  <c:v>30.2</c:v>
                </c:pt>
                <c:pt idx="72">
                  <c:v>32.4</c:v>
                </c:pt>
                <c:pt idx="73">
                  <c:v>28.3</c:v>
                </c:pt>
                <c:pt idx="74">
                  <c:v>25.8</c:v>
                </c:pt>
                <c:pt idx="75">
                  <c:v>24</c:v>
                </c:pt>
                <c:pt idx="76">
                  <c:v>25.7</c:v>
                </c:pt>
                <c:pt idx="77">
                  <c:v>24.2</c:v>
                </c:pt>
                <c:pt idx="78">
                  <c:v>24.3</c:v>
                </c:pt>
                <c:pt idx="79">
                  <c:v>25.9</c:v>
                </c:pt>
                <c:pt idx="80">
                  <c:v>22.3</c:v>
                </c:pt>
                <c:pt idx="81">
                  <c:v>27.7</c:v>
                </c:pt>
                <c:pt idx="82">
                  <c:v>27.6</c:v>
                </c:pt>
                <c:pt idx="83">
                  <c:v>26.4</c:v>
                </c:pt>
                <c:pt idx="84">
                  <c:v>26.3</c:v>
                </c:pt>
                <c:pt idx="85">
                  <c:v>23.5</c:v>
                </c:pt>
                <c:pt idx="86">
                  <c:v>24.2</c:v>
                </c:pt>
                <c:pt idx="87">
                  <c:v>22.5</c:v>
                </c:pt>
                <c:pt idx="88">
                  <c:v>23.5</c:v>
                </c:pt>
                <c:pt idx="89">
                  <c:v>23.2</c:v>
                </c:pt>
                <c:pt idx="90">
                  <c:v>24.6</c:v>
                </c:pt>
                <c:pt idx="91">
                  <c:v>23</c:v>
                </c:pt>
                <c:pt idx="92">
                  <c:v>22.9</c:v>
                </c:pt>
                <c:pt idx="93">
                  <c:v>22.7</c:v>
                </c:pt>
                <c:pt idx="94">
                  <c:v>22.7</c:v>
                </c:pt>
                <c:pt idx="95">
                  <c:v>22.8</c:v>
                </c:pt>
                <c:pt idx="96">
                  <c:v>22.9</c:v>
                </c:pt>
                <c:pt idx="97">
                  <c:v>20.9</c:v>
                </c:pt>
                <c:pt idx="98">
                  <c:v>20.9</c:v>
                </c:pt>
                <c:pt idx="99">
                  <c:v>20.9</c:v>
                </c:pt>
                <c:pt idx="100">
                  <c:v>22.5</c:v>
                </c:pt>
                <c:pt idx="101">
                  <c:v>19.5</c:v>
                </c:pt>
                <c:pt idx="102">
                  <c:v>22.8</c:v>
                </c:pt>
                <c:pt idx="103">
                  <c:v>22.5</c:v>
                </c:pt>
                <c:pt idx="104">
                  <c:v>23.6</c:v>
                </c:pt>
                <c:pt idx="105">
                  <c:v>21</c:v>
                </c:pt>
                <c:pt idx="106">
                  <c:v>21.2</c:v>
                </c:pt>
                <c:pt idx="107">
                  <c:v>26.2</c:v>
                </c:pt>
                <c:pt idx="108">
                  <c:v>24.4</c:v>
                </c:pt>
                <c:pt idx="109">
                  <c:v>23.8</c:v>
                </c:pt>
                <c:pt idx="110">
                  <c:v>23.8</c:v>
                </c:pt>
                <c:pt idx="111">
                  <c:v>Temperature (C)</c:v>
                </c:pt>
              </c:strCache>
            </c:strRef>
          </c:xVal>
          <c:yVal>
            <c:numRef>
              <c:f>'Hailey''s Data'!$AA$3:$AA$1074</c:f>
              <c:numCache>
                <c:formatCode>General</c:formatCode>
                <c:ptCount val="1072"/>
                <c:pt idx="0">
                  <c:v>-21.999999999999996</c:v>
                </c:pt>
                <c:pt idx="1">
                  <c:v>-21.179999999999996</c:v>
                </c:pt>
                <c:pt idx="2">
                  <c:v>-57.260000000000005</c:v>
                </c:pt>
                <c:pt idx="3">
                  <c:v>-58.08</c:v>
                </c:pt>
                <c:pt idx="4">
                  <c:v>-44.959999999999994</c:v>
                </c:pt>
                <c:pt idx="5">
                  <c:v>-30.2</c:v>
                </c:pt>
                <c:pt idx="6">
                  <c:v>-19.54</c:v>
                </c:pt>
                <c:pt idx="7">
                  <c:v>-10.52</c:v>
                </c:pt>
                <c:pt idx="8">
                  <c:v>-14.619999999999997</c:v>
                </c:pt>
                <c:pt idx="9">
                  <c:v>-14.619999999999997</c:v>
                </c:pt>
                <c:pt idx="10">
                  <c:v>-9.6999999999999993</c:v>
                </c:pt>
                <c:pt idx="11">
                  <c:v>-8.8799999999999955</c:v>
                </c:pt>
                <c:pt idx="12">
                  <c:v>-6.4199999999999982</c:v>
                </c:pt>
                <c:pt idx="13">
                  <c:v>-6.4199999999999982</c:v>
                </c:pt>
                <c:pt idx="14">
                  <c:v>-6.4199999999999982</c:v>
                </c:pt>
                <c:pt idx="15">
                  <c:v>-6.4199999999999982</c:v>
                </c:pt>
                <c:pt idx="16">
                  <c:v>0.14000000000000057</c:v>
                </c:pt>
                <c:pt idx="17">
                  <c:v>-12.159999999999997</c:v>
                </c:pt>
                <c:pt idx="18">
                  <c:v>-12.979999999999997</c:v>
                </c:pt>
                <c:pt idx="19">
                  <c:v>-14.619999999999997</c:v>
                </c:pt>
                <c:pt idx="20">
                  <c:v>-11.34</c:v>
                </c:pt>
                <c:pt idx="21">
                  <c:v>-11.34</c:v>
                </c:pt>
                <c:pt idx="22">
                  <c:v>-8.0599999999999952</c:v>
                </c:pt>
                <c:pt idx="23">
                  <c:v>-8.0599999999999952</c:v>
                </c:pt>
                <c:pt idx="24">
                  <c:v>-6.4199999999999982</c:v>
                </c:pt>
                <c:pt idx="25">
                  <c:v>-6.4199999999999982</c:v>
                </c:pt>
                <c:pt idx="26">
                  <c:v>-7.2399999999999984</c:v>
                </c:pt>
                <c:pt idx="27">
                  <c:v>-7.2399999999999984</c:v>
                </c:pt>
                <c:pt idx="28">
                  <c:v>-0.67999999999999794</c:v>
                </c:pt>
                <c:pt idx="29">
                  <c:v>-10.52</c:v>
                </c:pt>
                <c:pt idx="30">
                  <c:v>-8.8799999999999955</c:v>
                </c:pt>
                <c:pt idx="31">
                  <c:v>-8.8799999999999955</c:v>
                </c:pt>
                <c:pt idx="32">
                  <c:v>-8.8799999999999955</c:v>
                </c:pt>
                <c:pt idx="33">
                  <c:v>-6.4199999999999982</c:v>
                </c:pt>
                <c:pt idx="34">
                  <c:v>-8.0599999999999952</c:v>
                </c:pt>
                <c:pt idx="35">
                  <c:v>-8.8799999999999955</c:v>
                </c:pt>
                <c:pt idx="36">
                  <c:v>-10.52</c:v>
                </c:pt>
                <c:pt idx="37">
                  <c:v>-8.8799999999999955</c:v>
                </c:pt>
                <c:pt idx="38">
                  <c:v>-8.0599999999999952</c:v>
                </c:pt>
                <c:pt idx="39">
                  <c:v>-13.799999999999997</c:v>
                </c:pt>
                <c:pt idx="40">
                  <c:v>-10.52</c:v>
                </c:pt>
                <c:pt idx="41">
                  <c:v>6.7000000000000011</c:v>
                </c:pt>
                <c:pt idx="42">
                  <c:v>0.14000000000000057</c:v>
                </c:pt>
                <c:pt idx="43">
                  <c:v>-8.0599999999999952</c:v>
                </c:pt>
                <c:pt idx="44">
                  <c:v>-8.8799999999999955</c:v>
                </c:pt>
                <c:pt idx="45">
                  <c:v>-8.8799999999999955</c:v>
                </c:pt>
                <c:pt idx="46">
                  <c:v>-8.0599999999999952</c:v>
                </c:pt>
                <c:pt idx="47">
                  <c:v>-8.0599999999999952</c:v>
                </c:pt>
                <c:pt idx="48">
                  <c:v>-6.4199999999999982</c:v>
                </c:pt>
                <c:pt idx="49">
                  <c:v>-9.6999999999999993</c:v>
                </c:pt>
                <c:pt idx="50">
                  <c:v>-9.6999999999999993</c:v>
                </c:pt>
                <c:pt idx="51">
                  <c:v>8.3400000000000016</c:v>
                </c:pt>
                <c:pt idx="52">
                  <c:v>-2.3199999999999985</c:v>
                </c:pt>
                <c:pt idx="53">
                  <c:v>-8.0599999999999952</c:v>
                </c:pt>
                <c:pt idx="54">
                  <c:v>-8.0599999999999952</c:v>
                </c:pt>
                <c:pt idx="55">
                  <c:v>-10.52</c:v>
                </c:pt>
                <c:pt idx="56">
                  <c:v>-8.8799999999999955</c:v>
                </c:pt>
                <c:pt idx="57">
                  <c:v>-8.8799999999999955</c:v>
                </c:pt>
                <c:pt idx="58">
                  <c:v>-8.0599999999999952</c:v>
                </c:pt>
                <c:pt idx="59">
                  <c:v>-9.6999999999999993</c:v>
                </c:pt>
                <c:pt idx="60">
                  <c:v>-8.0599999999999952</c:v>
                </c:pt>
                <c:pt idx="61">
                  <c:v>8.3400000000000016</c:v>
                </c:pt>
                <c:pt idx="62">
                  <c:v>0.96000000000000263</c:v>
                </c:pt>
                <c:pt idx="63">
                  <c:v>-8.0599999999999952</c:v>
                </c:pt>
                <c:pt idx="64">
                  <c:v>-9.6999999999999993</c:v>
                </c:pt>
                <c:pt idx="65">
                  <c:v>-12.159999999999997</c:v>
                </c:pt>
                <c:pt idx="66">
                  <c:v>-8.8799999999999955</c:v>
                </c:pt>
                <c:pt idx="67">
                  <c:v>-8.8799999999999955</c:v>
                </c:pt>
                <c:pt idx="68">
                  <c:v>-8.8799999999999955</c:v>
                </c:pt>
                <c:pt idx="69">
                  <c:v>-11.34</c:v>
                </c:pt>
                <c:pt idx="70">
                  <c:v>-8.8799999999999955</c:v>
                </c:pt>
                <c:pt idx="71">
                  <c:v>7.5200000000000014</c:v>
                </c:pt>
                <c:pt idx="72">
                  <c:v>3.4200000000000008</c:v>
                </c:pt>
                <c:pt idx="73">
                  <c:v>-8.8799999999999955</c:v>
                </c:pt>
                <c:pt idx="74">
                  <c:v>-8.8799999999999955</c:v>
                </c:pt>
                <c:pt idx="75">
                  <c:v>-8.8799999999999955</c:v>
                </c:pt>
                <c:pt idx="76">
                  <c:v>-7.2399999999999984</c:v>
                </c:pt>
                <c:pt idx="77">
                  <c:v>-9.6999999999999993</c:v>
                </c:pt>
                <c:pt idx="78">
                  <c:v>-3.9599999999999991</c:v>
                </c:pt>
                <c:pt idx="79">
                  <c:v>-8.8799999999999955</c:v>
                </c:pt>
                <c:pt idx="80">
                  <c:v>-10.52</c:v>
                </c:pt>
                <c:pt idx="81">
                  <c:v>7.5200000000000014</c:v>
                </c:pt>
                <c:pt idx="82">
                  <c:v>3.4200000000000008</c:v>
                </c:pt>
                <c:pt idx="83">
                  <c:v>-8.0599999999999952</c:v>
                </c:pt>
                <c:pt idx="84">
                  <c:v>-7.2399999999999984</c:v>
                </c:pt>
                <c:pt idx="85">
                  <c:v>-8.8799999999999955</c:v>
                </c:pt>
                <c:pt idx="86">
                  <c:v>-8.8799999999999955</c:v>
                </c:pt>
                <c:pt idx="87">
                  <c:v>-8.8799999999999955</c:v>
                </c:pt>
                <c:pt idx="88">
                  <c:v>-6.4199999999999982</c:v>
                </c:pt>
                <c:pt idx="89">
                  <c:v>-10.52</c:v>
                </c:pt>
                <c:pt idx="90">
                  <c:v>-9.6999999999999993</c:v>
                </c:pt>
                <c:pt idx="91">
                  <c:v>-17.079999999999995</c:v>
                </c:pt>
                <c:pt idx="92">
                  <c:v>-35.11999999999999</c:v>
                </c:pt>
                <c:pt idx="93">
                  <c:v>-11.34</c:v>
                </c:pt>
                <c:pt idx="94">
                  <c:v>-9.6999999999999993</c:v>
                </c:pt>
                <c:pt idx="95">
                  <c:v>-9.6999999999999993</c:v>
                </c:pt>
                <c:pt idx="96">
                  <c:v>-9.6999999999999993</c:v>
                </c:pt>
                <c:pt idx="97">
                  <c:v>-21.179999999999996</c:v>
                </c:pt>
                <c:pt idx="98">
                  <c:v>-20.359999999999996</c:v>
                </c:pt>
                <c:pt idx="99">
                  <c:v>-12.159999999999997</c:v>
                </c:pt>
                <c:pt idx="100">
                  <c:v>-8.8799999999999955</c:v>
                </c:pt>
                <c:pt idx="101">
                  <c:v>-8.8799999999999955</c:v>
                </c:pt>
                <c:pt idx="102">
                  <c:v>-7.2399999999999984</c:v>
                </c:pt>
                <c:pt idx="103">
                  <c:v>-10.52</c:v>
                </c:pt>
                <c:pt idx="104">
                  <c:v>-8.8799999999999955</c:v>
                </c:pt>
                <c:pt idx="105">
                  <c:v>-2.3199999999999985</c:v>
                </c:pt>
                <c:pt idx="106">
                  <c:v>-1.4999999999999982</c:v>
                </c:pt>
                <c:pt idx="107">
                  <c:v>-2.3199999999999985</c:v>
                </c:pt>
                <c:pt idx="108">
                  <c:v>-8.8799999999999955</c:v>
                </c:pt>
                <c:pt idx="109">
                  <c:v>-8.0599999999999952</c:v>
                </c:pt>
                <c:pt idx="110">
                  <c:v>-8.8799999999999955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43-4C07-A322-F9D519E7E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540695"/>
        <c:axId val="1743870473"/>
      </c:scatterChart>
      <c:valAx>
        <c:axId val="20415406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3870473"/>
        <c:crosses val="autoZero"/>
        <c:crossBetween val="midCat"/>
      </c:valAx>
      <c:valAx>
        <c:axId val="1743870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Isotope Concentration (‰)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154069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l-GR" b="0">
                <a:solidFill>
                  <a:srgbClr val="757575"/>
                </a:solidFill>
                <a:latin typeface="+mn-lt"/>
              </a:rPr>
              <a:t>δ18</a:t>
            </a:r>
            <a:r>
              <a:rPr lang="en-US" b="0">
                <a:solidFill>
                  <a:srgbClr val="757575"/>
                </a:solidFill>
                <a:latin typeface="+mn-lt"/>
              </a:rPr>
              <a:t>O (‰), </a:t>
            </a:r>
            <a:r>
              <a:rPr lang="el-GR" b="0">
                <a:solidFill>
                  <a:srgbClr val="757575"/>
                </a:solidFill>
                <a:latin typeface="+mn-lt"/>
              </a:rPr>
              <a:t>δ2</a:t>
            </a:r>
            <a:r>
              <a:rPr lang="en-US" b="0">
                <a:solidFill>
                  <a:srgbClr val="757575"/>
                </a:solidFill>
                <a:latin typeface="+mn-lt"/>
              </a:rPr>
              <a:t>H (‰) and Discharge (ft^3/s)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'Hailey''s Data'!$D$1:$D$2</c:f>
              <c:strCache>
                <c:ptCount val="2"/>
                <c:pt idx="0">
                  <c:v>-2.6</c:v>
                </c:pt>
                <c:pt idx="1">
                  <c:v>-1.9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strRef>
              <c:f>'Hailey''s Data'!$I$3:$I$1074</c:f>
              <c:strCache>
                <c:ptCount val="112"/>
                <c:pt idx="0">
                  <c:v>15.5</c:v>
                </c:pt>
                <c:pt idx="1">
                  <c:v>14.5</c:v>
                </c:pt>
                <c:pt idx="2">
                  <c:v>22.1</c:v>
                </c:pt>
                <c:pt idx="3">
                  <c:v>19.2</c:v>
                </c:pt>
                <c:pt idx="4">
                  <c:v>17.8</c:v>
                </c:pt>
                <c:pt idx="5">
                  <c:v>17.1</c:v>
                </c:pt>
                <c:pt idx="6">
                  <c:v>15.1</c:v>
                </c:pt>
                <c:pt idx="7">
                  <c:v>15.3</c:v>
                </c:pt>
                <c:pt idx="8">
                  <c:v>14.1</c:v>
                </c:pt>
                <c:pt idx="9">
                  <c:v>14.8</c:v>
                </c:pt>
                <c:pt idx="10">
                  <c:v>20.6</c:v>
                </c:pt>
                <c:pt idx="11">
                  <c:v>22.4</c:v>
                </c:pt>
                <c:pt idx="12">
                  <c:v>20.9</c:v>
                </c:pt>
                <c:pt idx="13">
                  <c:v>20.9</c:v>
                </c:pt>
                <c:pt idx="14">
                  <c:v>12</c:v>
                </c:pt>
                <c:pt idx="15">
                  <c:v>11.7</c:v>
                </c:pt>
                <c:pt idx="16">
                  <c:v>13.5</c:v>
                </c:pt>
                <c:pt idx="17">
                  <c:v>38.3</c:v>
                </c:pt>
                <c:pt idx="18">
                  <c:v>33.8</c:v>
                </c:pt>
                <c:pt idx="19">
                  <c:v>30.7</c:v>
                </c:pt>
                <c:pt idx="20">
                  <c:v>22.3</c:v>
                </c:pt>
                <c:pt idx="21">
                  <c:v>20.1</c:v>
                </c:pt>
                <c:pt idx="22">
                  <c:v>8.52</c:v>
                </c:pt>
                <c:pt idx="23">
                  <c:v>8.52</c:v>
                </c:pt>
                <c:pt idx="24">
                  <c:v>9.31</c:v>
                </c:pt>
                <c:pt idx="25">
                  <c:v>9.31</c:v>
                </c:pt>
                <c:pt idx="26">
                  <c:v>4.52</c:v>
                </c:pt>
                <c:pt idx="27">
                  <c:v>4.52</c:v>
                </c:pt>
                <c:pt idx="28">
                  <c:v>4.52</c:v>
                </c:pt>
                <c:pt idx="29">
                  <c:v>15.16</c:v>
                </c:pt>
                <c:pt idx="30">
                  <c:v>11.4</c:v>
                </c:pt>
                <c:pt idx="31">
                  <c:v>11.1</c:v>
                </c:pt>
                <c:pt idx="32">
                  <c:v>6.57</c:v>
                </c:pt>
                <c:pt idx="33">
                  <c:v>7.3</c:v>
                </c:pt>
                <c:pt idx="34">
                  <c:v>7.05</c:v>
                </c:pt>
                <c:pt idx="35">
                  <c:v>6.57</c:v>
                </c:pt>
                <c:pt idx="36">
                  <c:v>24.8</c:v>
                </c:pt>
                <c:pt idx="37">
                  <c:v>71.1</c:v>
                </c:pt>
                <c:pt idx="38">
                  <c:v>47.4</c:v>
                </c:pt>
                <c:pt idx="39">
                  <c:v>3.16</c:v>
                </c:pt>
                <c:pt idx="40">
                  <c:v>11</c:v>
                </c:pt>
                <c:pt idx="41">
                  <c:v>3.71</c:v>
                </c:pt>
                <c:pt idx="42">
                  <c:v>3.71</c:v>
                </c:pt>
                <c:pt idx="43">
                  <c:v>4.91</c:v>
                </c:pt>
                <c:pt idx="44">
                  <c:v>4.71</c:v>
                </c:pt>
                <c:pt idx="45">
                  <c:v>5.12</c:v>
                </c:pt>
                <c:pt idx="46">
                  <c:v>5.12</c:v>
                </c:pt>
                <c:pt idx="47">
                  <c:v>9.52</c:v>
                </c:pt>
                <c:pt idx="48">
                  <c:v>10.1</c:v>
                </c:pt>
                <c:pt idx="49">
                  <c:v>8.72</c:v>
                </c:pt>
                <c:pt idx="50">
                  <c:v>8.46</c:v>
                </c:pt>
                <c:pt idx="51">
                  <c:v>3.16</c:v>
                </c:pt>
                <c:pt idx="52">
                  <c:v>3.16</c:v>
                </c:pt>
                <c:pt idx="53">
                  <c:v>3.16</c:v>
                </c:pt>
                <c:pt idx="54">
                  <c:v>3.16</c:v>
                </c:pt>
                <c:pt idx="55">
                  <c:v>2.98</c:v>
                </c:pt>
                <c:pt idx="56">
                  <c:v>2.98</c:v>
                </c:pt>
                <c:pt idx="57">
                  <c:v>2.98</c:v>
                </c:pt>
                <c:pt idx="58">
                  <c:v>2.98</c:v>
                </c:pt>
                <c:pt idx="59">
                  <c:v>3.71</c:v>
                </c:pt>
                <c:pt idx="60">
                  <c:v>3.52</c:v>
                </c:pt>
                <c:pt idx="61">
                  <c:v>3.89</c:v>
                </c:pt>
                <c:pt idx="62">
                  <c:v>6.55</c:v>
                </c:pt>
                <c:pt idx="63">
                  <c:v>6.55</c:v>
                </c:pt>
                <c:pt idx="64">
                  <c:v>5.05</c:v>
                </c:pt>
                <c:pt idx="65">
                  <c:v>3.01</c:v>
                </c:pt>
                <c:pt idx="66">
                  <c:v>3.35</c:v>
                </c:pt>
                <c:pt idx="67">
                  <c:v>3.35</c:v>
                </c:pt>
                <c:pt idx="68">
                  <c:v>3.35</c:v>
                </c:pt>
                <c:pt idx="69">
                  <c:v>6.55</c:v>
                </c:pt>
                <c:pt idx="70">
                  <c:v>6.33</c:v>
                </c:pt>
                <c:pt idx="71">
                  <c:v>4.45</c:v>
                </c:pt>
                <c:pt idx="72">
                  <c:v>4.45</c:v>
                </c:pt>
                <c:pt idx="73">
                  <c:v>4.65</c:v>
                </c:pt>
                <c:pt idx="74">
                  <c:v>4.45</c:v>
                </c:pt>
                <c:pt idx="75">
                  <c:v>4.65</c:v>
                </c:pt>
                <c:pt idx="76">
                  <c:v>3.01</c:v>
                </c:pt>
                <c:pt idx="77">
                  <c:v>4.65</c:v>
                </c:pt>
                <c:pt idx="78">
                  <c:v>3.7</c:v>
                </c:pt>
                <c:pt idx="79">
                  <c:v>4.65</c:v>
                </c:pt>
                <c:pt idx="80">
                  <c:v>9.2</c:v>
                </c:pt>
                <c:pt idx="81">
                  <c:v>2.84</c:v>
                </c:pt>
                <c:pt idx="82">
                  <c:v>2.84</c:v>
                </c:pt>
                <c:pt idx="83">
                  <c:v>2.84</c:v>
                </c:pt>
                <c:pt idx="84">
                  <c:v>2.68</c:v>
                </c:pt>
                <c:pt idx="85">
                  <c:v>2.07</c:v>
                </c:pt>
                <c:pt idx="86">
                  <c:v>2.07</c:v>
                </c:pt>
                <c:pt idx="87">
                  <c:v>2.07</c:v>
                </c:pt>
                <c:pt idx="88">
                  <c:v>2.07</c:v>
                </c:pt>
                <c:pt idx="89">
                  <c:v>2.07</c:v>
                </c:pt>
                <c:pt idx="90">
                  <c:v>2.07</c:v>
                </c:pt>
                <c:pt idx="91">
                  <c:v>146</c:v>
                </c:pt>
                <c:pt idx="92">
                  <c:v>125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11.7</c:v>
                </c:pt>
                <c:pt idx="97">
                  <c:v>19.3</c:v>
                </c:pt>
                <c:pt idx="98">
                  <c:v>24.3</c:v>
                </c:pt>
                <c:pt idx="99">
                  <c:v>8.24</c:v>
                </c:pt>
                <c:pt idx="100">
                  <c:v>7.3</c:v>
                </c:pt>
                <c:pt idx="101">
                  <c:v>2.08</c:v>
                </c:pt>
                <c:pt idx="102">
                  <c:v>2.08</c:v>
                </c:pt>
                <c:pt idx="103">
                  <c:v>2.08</c:v>
                </c:pt>
                <c:pt idx="104">
                  <c:v>1.97</c:v>
                </c:pt>
                <c:pt idx="105">
                  <c:v>2.69</c:v>
                </c:pt>
                <c:pt idx="106">
                  <c:v>2.69</c:v>
                </c:pt>
                <c:pt idx="107">
                  <c:v>10.9</c:v>
                </c:pt>
                <c:pt idx="108">
                  <c:v>10.3</c:v>
                </c:pt>
                <c:pt idx="109">
                  <c:v>10</c:v>
                </c:pt>
                <c:pt idx="110">
                  <c:v>9.5</c:v>
                </c:pt>
                <c:pt idx="111">
                  <c:v>Discharge (ft^3/s)</c:v>
                </c:pt>
              </c:strCache>
            </c:strRef>
          </c:xVal>
          <c:yVal>
            <c:numRef>
              <c:f>'Hailey''s Data'!$D$3:$D$1074</c:f>
              <c:numCache>
                <c:formatCode>General</c:formatCode>
                <c:ptCount val="1072"/>
                <c:pt idx="0">
                  <c:v>-4</c:v>
                </c:pt>
                <c:pt idx="1">
                  <c:v>-3.9</c:v>
                </c:pt>
                <c:pt idx="2">
                  <c:v>-8.3000000000000007</c:v>
                </c:pt>
                <c:pt idx="3">
                  <c:v>-8.4</c:v>
                </c:pt>
                <c:pt idx="4">
                  <c:v>-6.8</c:v>
                </c:pt>
                <c:pt idx="5">
                  <c:v>-5</c:v>
                </c:pt>
                <c:pt idx="6">
                  <c:v>-3.7</c:v>
                </c:pt>
                <c:pt idx="7">
                  <c:v>-2.6</c:v>
                </c:pt>
                <c:pt idx="8">
                  <c:v>-3.1</c:v>
                </c:pt>
                <c:pt idx="9">
                  <c:v>-3.1</c:v>
                </c:pt>
                <c:pt idx="10">
                  <c:v>-2.5</c:v>
                </c:pt>
                <c:pt idx="11">
                  <c:v>-2.4</c:v>
                </c:pt>
                <c:pt idx="12">
                  <c:v>-2.1</c:v>
                </c:pt>
                <c:pt idx="13">
                  <c:v>-2.1</c:v>
                </c:pt>
                <c:pt idx="14">
                  <c:v>-2.1</c:v>
                </c:pt>
                <c:pt idx="15">
                  <c:v>-2.1</c:v>
                </c:pt>
                <c:pt idx="16">
                  <c:v>-1.3</c:v>
                </c:pt>
                <c:pt idx="17">
                  <c:v>-2.8</c:v>
                </c:pt>
                <c:pt idx="18">
                  <c:v>-2.9</c:v>
                </c:pt>
                <c:pt idx="19">
                  <c:v>-3.1</c:v>
                </c:pt>
                <c:pt idx="20">
                  <c:v>-2.7</c:v>
                </c:pt>
                <c:pt idx="21">
                  <c:v>-2.7</c:v>
                </c:pt>
                <c:pt idx="22">
                  <c:v>-2.2999999999999998</c:v>
                </c:pt>
                <c:pt idx="23">
                  <c:v>-2.2999999999999998</c:v>
                </c:pt>
                <c:pt idx="24">
                  <c:v>-2.1</c:v>
                </c:pt>
                <c:pt idx="25">
                  <c:v>-2.1</c:v>
                </c:pt>
                <c:pt idx="26">
                  <c:v>-2.2000000000000002</c:v>
                </c:pt>
                <c:pt idx="27">
                  <c:v>-2.2000000000000002</c:v>
                </c:pt>
                <c:pt idx="28">
                  <c:v>-1.4</c:v>
                </c:pt>
                <c:pt idx="29">
                  <c:v>-2.6</c:v>
                </c:pt>
                <c:pt idx="30">
                  <c:v>-2.4</c:v>
                </c:pt>
                <c:pt idx="31">
                  <c:v>-2.4</c:v>
                </c:pt>
                <c:pt idx="32">
                  <c:v>-2.4</c:v>
                </c:pt>
                <c:pt idx="33">
                  <c:v>-2.1</c:v>
                </c:pt>
                <c:pt idx="34">
                  <c:v>-2.2999999999999998</c:v>
                </c:pt>
                <c:pt idx="35">
                  <c:v>-2.4</c:v>
                </c:pt>
                <c:pt idx="36">
                  <c:v>-2.6</c:v>
                </c:pt>
                <c:pt idx="37">
                  <c:v>-2.4</c:v>
                </c:pt>
                <c:pt idx="38">
                  <c:v>-2.2999999999999998</c:v>
                </c:pt>
                <c:pt idx="39">
                  <c:v>-3</c:v>
                </c:pt>
                <c:pt idx="40">
                  <c:v>-2.6</c:v>
                </c:pt>
                <c:pt idx="41">
                  <c:v>-0.5</c:v>
                </c:pt>
                <c:pt idx="42">
                  <c:v>-1.3</c:v>
                </c:pt>
                <c:pt idx="43">
                  <c:v>-2.2999999999999998</c:v>
                </c:pt>
                <c:pt idx="44">
                  <c:v>-2.4</c:v>
                </c:pt>
                <c:pt idx="45">
                  <c:v>-2.4</c:v>
                </c:pt>
                <c:pt idx="46">
                  <c:v>-2.2999999999999998</c:v>
                </c:pt>
                <c:pt idx="47">
                  <c:v>-2.2999999999999998</c:v>
                </c:pt>
                <c:pt idx="48">
                  <c:v>-2.1</c:v>
                </c:pt>
                <c:pt idx="49">
                  <c:v>-2.5</c:v>
                </c:pt>
                <c:pt idx="50">
                  <c:v>-2.5</c:v>
                </c:pt>
                <c:pt idx="51">
                  <c:v>-0.3</c:v>
                </c:pt>
                <c:pt idx="52">
                  <c:v>-1.6</c:v>
                </c:pt>
                <c:pt idx="53">
                  <c:v>-2.2999999999999998</c:v>
                </c:pt>
                <c:pt idx="54">
                  <c:v>-2.2999999999999998</c:v>
                </c:pt>
                <c:pt idx="55">
                  <c:v>-2.6</c:v>
                </c:pt>
                <c:pt idx="56">
                  <c:v>-2.4</c:v>
                </c:pt>
                <c:pt idx="57">
                  <c:v>-2.4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-2.2999999999999998</c:v>
                </c:pt>
                <c:pt idx="61">
                  <c:v>-0.3</c:v>
                </c:pt>
                <c:pt idx="62">
                  <c:v>-1.2</c:v>
                </c:pt>
                <c:pt idx="63">
                  <c:v>-2.2999999999999998</c:v>
                </c:pt>
                <c:pt idx="64">
                  <c:v>-2.5</c:v>
                </c:pt>
                <c:pt idx="65">
                  <c:v>-2.8</c:v>
                </c:pt>
                <c:pt idx="66">
                  <c:v>-2.4</c:v>
                </c:pt>
                <c:pt idx="67">
                  <c:v>-2.4</c:v>
                </c:pt>
                <c:pt idx="68">
                  <c:v>-2.4</c:v>
                </c:pt>
                <c:pt idx="69">
                  <c:v>-2.7</c:v>
                </c:pt>
                <c:pt idx="70">
                  <c:v>-2.4</c:v>
                </c:pt>
                <c:pt idx="71">
                  <c:v>-0.4</c:v>
                </c:pt>
                <c:pt idx="72">
                  <c:v>-0.9</c:v>
                </c:pt>
                <c:pt idx="73">
                  <c:v>-2.4</c:v>
                </c:pt>
                <c:pt idx="74">
                  <c:v>-2.4</c:v>
                </c:pt>
                <c:pt idx="75">
                  <c:v>-2.4</c:v>
                </c:pt>
                <c:pt idx="76">
                  <c:v>-2.2000000000000002</c:v>
                </c:pt>
                <c:pt idx="77">
                  <c:v>-2.5</c:v>
                </c:pt>
                <c:pt idx="78">
                  <c:v>-1.8</c:v>
                </c:pt>
                <c:pt idx="79">
                  <c:v>-2.4</c:v>
                </c:pt>
                <c:pt idx="80">
                  <c:v>-2.6</c:v>
                </c:pt>
                <c:pt idx="81">
                  <c:v>-0.4</c:v>
                </c:pt>
                <c:pt idx="82">
                  <c:v>-0.9</c:v>
                </c:pt>
                <c:pt idx="83">
                  <c:v>-2.2999999999999998</c:v>
                </c:pt>
                <c:pt idx="84">
                  <c:v>-2.2000000000000002</c:v>
                </c:pt>
                <c:pt idx="85">
                  <c:v>-2.4</c:v>
                </c:pt>
                <c:pt idx="86">
                  <c:v>-2.4</c:v>
                </c:pt>
                <c:pt idx="87">
                  <c:v>-2.4</c:v>
                </c:pt>
                <c:pt idx="88">
                  <c:v>-2.1</c:v>
                </c:pt>
                <c:pt idx="89">
                  <c:v>-2.6</c:v>
                </c:pt>
                <c:pt idx="90">
                  <c:v>-2.5</c:v>
                </c:pt>
                <c:pt idx="91">
                  <c:v>-3.4</c:v>
                </c:pt>
                <c:pt idx="92">
                  <c:v>-5.6</c:v>
                </c:pt>
                <c:pt idx="93">
                  <c:v>-2.7</c:v>
                </c:pt>
                <c:pt idx="94">
                  <c:v>-2.5</c:v>
                </c:pt>
                <c:pt idx="95">
                  <c:v>-2.5</c:v>
                </c:pt>
                <c:pt idx="96">
                  <c:v>-2.5</c:v>
                </c:pt>
                <c:pt idx="97">
                  <c:v>-3.9</c:v>
                </c:pt>
                <c:pt idx="98">
                  <c:v>-3.8</c:v>
                </c:pt>
                <c:pt idx="99">
                  <c:v>-2.8</c:v>
                </c:pt>
                <c:pt idx="100">
                  <c:v>-2.4</c:v>
                </c:pt>
                <c:pt idx="101">
                  <c:v>-2.4</c:v>
                </c:pt>
                <c:pt idx="102">
                  <c:v>-2.2000000000000002</c:v>
                </c:pt>
                <c:pt idx="103">
                  <c:v>-2.6</c:v>
                </c:pt>
                <c:pt idx="104">
                  <c:v>-2.4</c:v>
                </c:pt>
                <c:pt idx="105">
                  <c:v>-1.6</c:v>
                </c:pt>
                <c:pt idx="106">
                  <c:v>-1.5</c:v>
                </c:pt>
                <c:pt idx="107">
                  <c:v>-1.6</c:v>
                </c:pt>
                <c:pt idx="108">
                  <c:v>-2.4</c:v>
                </c:pt>
                <c:pt idx="109">
                  <c:v>-2.2999999999999998</c:v>
                </c:pt>
                <c:pt idx="110">
                  <c:v>-2.4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0D-4F76-A9E0-61ABD78E96A9}"/>
            </c:ext>
          </c:extLst>
        </c:ser>
        <c:ser>
          <c:idx val="1"/>
          <c:order val="1"/>
          <c:tx>
            <c:strRef>
              <c:f>'Hailey''s Data'!$E$1:$E$2</c:f>
              <c:strCache>
                <c:ptCount val="2"/>
                <c:pt idx="0">
                  <c:v>-6.7</c:v>
                </c:pt>
                <c:pt idx="1">
                  <c:v>-2.2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strRef>
              <c:f>'Hailey''s Data'!$I$3:$I$1074</c:f>
              <c:strCache>
                <c:ptCount val="112"/>
                <c:pt idx="0">
                  <c:v>15.5</c:v>
                </c:pt>
                <c:pt idx="1">
                  <c:v>14.5</c:v>
                </c:pt>
                <c:pt idx="2">
                  <c:v>22.1</c:v>
                </c:pt>
                <c:pt idx="3">
                  <c:v>19.2</c:v>
                </c:pt>
                <c:pt idx="4">
                  <c:v>17.8</c:v>
                </c:pt>
                <c:pt idx="5">
                  <c:v>17.1</c:v>
                </c:pt>
                <c:pt idx="6">
                  <c:v>15.1</c:v>
                </c:pt>
                <c:pt idx="7">
                  <c:v>15.3</c:v>
                </c:pt>
                <c:pt idx="8">
                  <c:v>14.1</c:v>
                </c:pt>
                <c:pt idx="9">
                  <c:v>14.8</c:v>
                </c:pt>
                <c:pt idx="10">
                  <c:v>20.6</c:v>
                </c:pt>
                <c:pt idx="11">
                  <c:v>22.4</c:v>
                </c:pt>
                <c:pt idx="12">
                  <c:v>20.9</c:v>
                </c:pt>
                <c:pt idx="13">
                  <c:v>20.9</c:v>
                </c:pt>
                <c:pt idx="14">
                  <c:v>12</c:v>
                </c:pt>
                <c:pt idx="15">
                  <c:v>11.7</c:v>
                </c:pt>
                <c:pt idx="16">
                  <c:v>13.5</c:v>
                </c:pt>
                <c:pt idx="17">
                  <c:v>38.3</c:v>
                </c:pt>
                <c:pt idx="18">
                  <c:v>33.8</c:v>
                </c:pt>
                <c:pt idx="19">
                  <c:v>30.7</c:v>
                </c:pt>
                <c:pt idx="20">
                  <c:v>22.3</c:v>
                </c:pt>
                <c:pt idx="21">
                  <c:v>20.1</c:v>
                </c:pt>
                <c:pt idx="22">
                  <c:v>8.52</c:v>
                </c:pt>
                <c:pt idx="23">
                  <c:v>8.52</c:v>
                </c:pt>
                <c:pt idx="24">
                  <c:v>9.31</c:v>
                </c:pt>
                <c:pt idx="25">
                  <c:v>9.31</c:v>
                </c:pt>
                <c:pt idx="26">
                  <c:v>4.52</c:v>
                </c:pt>
                <c:pt idx="27">
                  <c:v>4.52</c:v>
                </c:pt>
                <c:pt idx="28">
                  <c:v>4.52</c:v>
                </c:pt>
                <c:pt idx="29">
                  <c:v>15.16</c:v>
                </c:pt>
                <c:pt idx="30">
                  <c:v>11.4</c:v>
                </c:pt>
                <c:pt idx="31">
                  <c:v>11.1</c:v>
                </c:pt>
                <c:pt idx="32">
                  <c:v>6.57</c:v>
                </c:pt>
                <c:pt idx="33">
                  <c:v>7.3</c:v>
                </c:pt>
                <c:pt idx="34">
                  <c:v>7.05</c:v>
                </c:pt>
                <c:pt idx="35">
                  <c:v>6.57</c:v>
                </c:pt>
                <c:pt idx="36">
                  <c:v>24.8</c:v>
                </c:pt>
                <c:pt idx="37">
                  <c:v>71.1</c:v>
                </c:pt>
                <c:pt idx="38">
                  <c:v>47.4</c:v>
                </c:pt>
                <c:pt idx="39">
                  <c:v>3.16</c:v>
                </c:pt>
                <c:pt idx="40">
                  <c:v>11</c:v>
                </c:pt>
                <c:pt idx="41">
                  <c:v>3.71</c:v>
                </c:pt>
                <c:pt idx="42">
                  <c:v>3.71</c:v>
                </c:pt>
                <c:pt idx="43">
                  <c:v>4.91</c:v>
                </c:pt>
                <c:pt idx="44">
                  <c:v>4.71</c:v>
                </c:pt>
                <c:pt idx="45">
                  <c:v>5.12</c:v>
                </c:pt>
                <c:pt idx="46">
                  <c:v>5.12</c:v>
                </c:pt>
                <c:pt idx="47">
                  <c:v>9.52</c:v>
                </c:pt>
                <c:pt idx="48">
                  <c:v>10.1</c:v>
                </c:pt>
                <c:pt idx="49">
                  <c:v>8.72</c:v>
                </c:pt>
                <c:pt idx="50">
                  <c:v>8.46</c:v>
                </c:pt>
                <c:pt idx="51">
                  <c:v>3.16</c:v>
                </c:pt>
                <c:pt idx="52">
                  <c:v>3.16</c:v>
                </c:pt>
                <c:pt idx="53">
                  <c:v>3.16</c:v>
                </c:pt>
                <c:pt idx="54">
                  <c:v>3.16</c:v>
                </c:pt>
                <c:pt idx="55">
                  <c:v>2.98</c:v>
                </c:pt>
                <c:pt idx="56">
                  <c:v>2.98</c:v>
                </c:pt>
                <c:pt idx="57">
                  <c:v>2.98</c:v>
                </c:pt>
                <c:pt idx="58">
                  <c:v>2.98</c:v>
                </c:pt>
                <c:pt idx="59">
                  <c:v>3.71</c:v>
                </c:pt>
                <c:pt idx="60">
                  <c:v>3.52</c:v>
                </c:pt>
                <c:pt idx="61">
                  <c:v>3.89</c:v>
                </c:pt>
                <c:pt idx="62">
                  <c:v>6.55</c:v>
                </c:pt>
                <c:pt idx="63">
                  <c:v>6.55</c:v>
                </c:pt>
                <c:pt idx="64">
                  <c:v>5.05</c:v>
                </c:pt>
                <c:pt idx="65">
                  <c:v>3.01</c:v>
                </c:pt>
                <c:pt idx="66">
                  <c:v>3.35</c:v>
                </c:pt>
                <c:pt idx="67">
                  <c:v>3.35</c:v>
                </c:pt>
                <c:pt idx="68">
                  <c:v>3.35</c:v>
                </c:pt>
                <c:pt idx="69">
                  <c:v>6.55</c:v>
                </c:pt>
                <c:pt idx="70">
                  <c:v>6.33</c:v>
                </c:pt>
                <c:pt idx="71">
                  <c:v>4.45</c:v>
                </c:pt>
                <c:pt idx="72">
                  <c:v>4.45</c:v>
                </c:pt>
                <c:pt idx="73">
                  <c:v>4.65</c:v>
                </c:pt>
                <c:pt idx="74">
                  <c:v>4.45</c:v>
                </c:pt>
                <c:pt idx="75">
                  <c:v>4.65</c:v>
                </c:pt>
                <c:pt idx="76">
                  <c:v>3.01</c:v>
                </c:pt>
                <c:pt idx="77">
                  <c:v>4.65</c:v>
                </c:pt>
                <c:pt idx="78">
                  <c:v>3.7</c:v>
                </c:pt>
                <c:pt idx="79">
                  <c:v>4.65</c:v>
                </c:pt>
                <c:pt idx="80">
                  <c:v>9.2</c:v>
                </c:pt>
                <c:pt idx="81">
                  <c:v>2.84</c:v>
                </c:pt>
                <c:pt idx="82">
                  <c:v>2.84</c:v>
                </c:pt>
                <c:pt idx="83">
                  <c:v>2.84</c:v>
                </c:pt>
                <c:pt idx="84">
                  <c:v>2.68</c:v>
                </c:pt>
                <c:pt idx="85">
                  <c:v>2.07</c:v>
                </c:pt>
                <c:pt idx="86">
                  <c:v>2.07</c:v>
                </c:pt>
                <c:pt idx="87">
                  <c:v>2.07</c:v>
                </c:pt>
                <c:pt idx="88">
                  <c:v>2.07</c:v>
                </c:pt>
                <c:pt idx="89">
                  <c:v>2.07</c:v>
                </c:pt>
                <c:pt idx="90">
                  <c:v>2.07</c:v>
                </c:pt>
                <c:pt idx="91">
                  <c:v>146</c:v>
                </c:pt>
                <c:pt idx="92">
                  <c:v>125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11.7</c:v>
                </c:pt>
                <c:pt idx="97">
                  <c:v>19.3</c:v>
                </c:pt>
                <c:pt idx="98">
                  <c:v>24.3</c:v>
                </c:pt>
                <c:pt idx="99">
                  <c:v>8.24</c:v>
                </c:pt>
                <c:pt idx="100">
                  <c:v>7.3</c:v>
                </c:pt>
                <c:pt idx="101">
                  <c:v>2.08</c:v>
                </c:pt>
                <c:pt idx="102">
                  <c:v>2.08</c:v>
                </c:pt>
                <c:pt idx="103">
                  <c:v>2.08</c:v>
                </c:pt>
                <c:pt idx="104">
                  <c:v>1.97</c:v>
                </c:pt>
                <c:pt idx="105">
                  <c:v>2.69</c:v>
                </c:pt>
                <c:pt idx="106">
                  <c:v>2.69</c:v>
                </c:pt>
                <c:pt idx="107">
                  <c:v>10.9</c:v>
                </c:pt>
                <c:pt idx="108">
                  <c:v>10.3</c:v>
                </c:pt>
                <c:pt idx="109">
                  <c:v>10</c:v>
                </c:pt>
                <c:pt idx="110">
                  <c:v>9.5</c:v>
                </c:pt>
                <c:pt idx="111">
                  <c:v>Discharge (ft^3/s)</c:v>
                </c:pt>
              </c:strCache>
            </c:strRef>
          </c:xVal>
          <c:yVal>
            <c:numRef>
              <c:f>'Hailey''s Data'!$E$3:$E$1074</c:f>
              <c:numCache>
                <c:formatCode>General</c:formatCode>
                <c:ptCount val="1072"/>
                <c:pt idx="0">
                  <c:v>-21.4</c:v>
                </c:pt>
                <c:pt idx="1">
                  <c:v>-20.6</c:v>
                </c:pt>
                <c:pt idx="2">
                  <c:v>-57.5</c:v>
                </c:pt>
                <c:pt idx="3">
                  <c:v>-58.3</c:v>
                </c:pt>
                <c:pt idx="4">
                  <c:v>-46.3</c:v>
                </c:pt>
                <c:pt idx="5">
                  <c:v>-26.9</c:v>
                </c:pt>
                <c:pt idx="6">
                  <c:v>-14.1</c:v>
                </c:pt>
                <c:pt idx="7">
                  <c:v>-7.6</c:v>
                </c:pt>
                <c:pt idx="8">
                  <c:v>-10.6</c:v>
                </c:pt>
                <c:pt idx="9">
                  <c:v>-10.3</c:v>
                </c:pt>
                <c:pt idx="10">
                  <c:v>-6.5</c:v>
                </c:pt>
                <c:pt idx="11">
                  <c:v>-5.7</c:v>
                </c:pt>
                <c:pt idx="12">
                  <c:v>-4.2</c:v>
                </c:pt>
                <c:pt idx="13">
                  <c:v>-4.0999999999999996</c:v>
                </c:pt>
                <c:pt idx="14">
                  <c:v>-4.4000000000000004</c:v>
                </c:pt>
                <c:pt idx="15">
                  <c:v>-4.2</c:v>
                </c:pt>
                <c:pt idx="16">
                  <c:v>-1.6</c:v>
                </c:pt>
                <c:pt idx="17">
                  <c:v>-6.4</c:v>
                </c:pt>
                <c:pt idx="18">
                  <c:v>-6.7</c:v>
                </c:pt>
                <c:pt idx="19">
                  <c:v>-10.3</c:v>
                </c:pt>
                <c:pt idx="20">
                  <c:v>-6.9</c:v>
                </c:pt>
                <c:pt idx="21">
                  <c:v>-6.9</c:v>
                </c:pt>
                <c:pt idx="22">
                  <c:v>-4.5999999999999996</c:v>
                </c:pt>
                <c:pt idx="23">
                  <c:v>-4.5</c:v>
                </c:pt>
                <c:pt idx="24">
                  <c:v>-3.8</c:v>
                </c:pt>
                <c:pt idx="25">
                  <c:v>-3.6</c:v>
                </c:pt>
                <c:pt idx="26">
                  <c:v>-4.5999999999999996</c:v>
                </c:pt>
                <c:pt idx="27">
                  <c:v>-4.7</c:v>
                </c:pt>
                <c:pt idx="28">
                  <c:v>-2</c:v>
                </c:pt>
                <c:pt idx="29">
                  <c:v>-5.4</c:v>
                </c:pt>
                <c:pt idx="30">
                  <c:v>-4.7</c:v>
                </c:pt>
                <c:pt idx="31">
                  <c:v>-4.4000000000000004</c:v>
                </c:pt>
                <c:pt idx="32">
                  <c:v>-4.5999999999999996</c:v>
                </c:pt>
                <c:pt idx="33">
                  <c:v>-4.5</c:v>
                </c:pt>
                <c:pt idx="34">
                  <c:v>-4.3</c:v>
                </c:pt>
                <c:pt idx="35">
                  <c:v>-4.0999999999999996</c:v>
                </c:pt>
                <c:pt idx="36">
                  <c:v>-0.2</c:v>
                </c:pt>
                <c:pt idx="37">
                  <c:v>-0.4</c:v>
                </c:pt>
                <c:pt idx="38">
                  <c:v>0.3</c:v>
                </c:pt>
                <c:pt idx="39">
                  <c:v>-4.3</c:v>
                </c:pt>
                <c:pt idx="40">
                  <c:v>-3.8</c:v>
                </c:pt>
                <c:pt idx="41">
                  <c:v>0.6</c:v>
                </c:pt>
                <c:pt idx="42">
                  <c:v>-1.9</c:v>
                </c:pt>
                <c:pt idx="43">
                  <c:v>-4.4000000000000004</c:v>
                </c:pt>
                <c:pt idx="44">
                  <c:v>-4.9000000000000004</c:v>
                </c:pt>
                <c:pt idx="45">
                  <c:v>-5.4</c:v>
                </c:pt>
                <c:pt idx="46">
                  <c:v>-4</c:v>
                </c:pt>
                <c:pt idx="47">
                  <c:v>-4.0999999999999996</c:v>
                </c:pt>
                <c:pt idx="48">
                  <c:v>-3.1</c:v>
                </c:pt>
                <c:pt idx="49">
                  <c:v>-4.2</c:v>
                </c:pt>
                <c:pt idx="50">
                  <c:v>-4.2</c:v>
                </c:pt>
                <c:pt idx="51">
                  <c:v>1.2</c:v>
                </c:pt>
                <c:pt idx="52">
                  <c:v>-2.6</c:v>
                </c:pt>
                <c:pt idx="53">
                  <c:v>-4.5999999999999996</c:v>
                </c:pt>
                <c:pt idx="54">
                  <c:v>-4.7</c:v>
                </c:pt>
                <c:pt idx="55">
                  <c:v>-5.3</c:v>
                </c:pt>
                <c:pt idx="56">
                  <c:v>-4.5999999999999996</c:v>
                </c:pt>
                <c:pt idx="57">
                  <c:v>-4.5999999999999996</c:v>
                </c:pt>
                <c:pt idx="58">
                  <c:v>-4.4000000000000004</c:v>
                </c:pt>
                <c:pt idx="59">
                  <c:v>-4.8</c:v>
                </c:pt>
                <c:pt idx="60">
                  <c:v>-4.0999999999999996</c:v>
                </c:pt>
                <c:pt idx="61">
                  <c:v>0.3</c:v>
                </c:pt>
                <c:pt idx="62">
                  <c:v>-2.1</c:v>
                </c:pt>
                <c:pt idx="63">
                  <c:v>-5.3</c:v>
                </c:pt>
                <c:pt idx="64">
                  <c:v>-6</c:v>
                </c:pt>
                <c:pt idx="65">
                  <c:v>-7.5</c:v>
                </c:pt>
                <c:pt idx="66">
                  <c:v>-5.0999999999999996</c:v>
                </c:pt>
                <c:pt idx="67">
                  <c:v>-5.3</c:v>
                </c:pt>
                <c:pt idx="68">
                  <c:v>-5.2</c:v>
                </c:pt>
                <c:pt idx="69">
                  <c:v>-6.6</c:v>
                </c:pt>
                <c:pt idx="70">
                  <c:v>-5.2</c:v>
                </c:pt>
                <c:pt idx="71">
                  <c:v>0.4</c:v>
                </c:pt>
                <c:pt idx="72">
                  <c:v>-1.2</c:v>
                </c:pt>
                <c:pt idx="73">
                  <c:v>-5.5</c:v>
                </c:pt>
                <c:pt idx="74">
                  <c:v>-6.2</c:v>
                </c:pt>
                <c:pt idx="75">
                  <c:v>-5.2</c:v>
                </c:pt>
                <c:pt idx="76">
                  <c:v>-5.5</c:v>
                </c:pt>
                <c:pt idx="77">
                  <c:v>-5.6</c:v>
                </c:pt>
                <c:pt idx="78">
                  <c:v>-2.8</c:v>
                </c:pt>
                <c:pt idx="79">
                  <c:v>-6</c:v>
                </c:pt>
                <c:pt idx="80">
                  <c:v>-6.1</c:v>
                </c:pt>
                <c:pt idx="81">
                  <c:v>0.9</c:v>
                </c:pt>
                <c:pt idx="82">
                  <c:v>-0.7</c:v>
                </c:pt>
                <c:pt idx="83">
                  <c:v>-4.2</c:v>
                </c:pt>
                <c:pt idx="84">
                  <c:v>-3.3</c:v>
                </c:pt>
                <c:pt idx="85">
                  <c:v>-4.5999999999999996</c:v>
                </c:pt>
                <c:pt idx="86">
                  <c:v>-5.2</c:v>
                </c:pt>
                <c:pt idx="87">
                  <c:v>-3.6</c:v>
                </c:pt>
                <c:pt idx="88">
                  <c:v>-3.2</c:v>
                </c:pt>
                <c:pt idx="89">
                  <c:v>-5.6</c:v>
                </c:pt>
                <c:pt idx="90">
                  <c:v>-5.0999999999999996</c:v>
                </c:pt>
                <c:pt idx="91">
                  <c:v>-14.6</c:v>
                </c:pt>
                <c:pt idx="92">
                  <c:v>-31.9</c:v>
                </c:pt>
                <c:pt idx="93">
                  <c:v>-6.7</c:v>
                </c:pt>
                <c:pt idx="94">
                  <c:v>-6.1</c:v>
                </c:pt>
                <c:pt idx="95">
                  <c:v>-5.4</c:v>
                </c:pt>
                <c:pt idx="96">
                  <c:v>-5.4</c:v>
                </c:pt>
                <c:pt idx="97">
                  <c:v>-18.899999999999999</c:v>
                </c:pt>
                <c:pt idx="98">
                  <c:v>-18.399999999999999</c:v>
                </c:pt>
                <c:pt idx="99">
                  <c:v>-6.6</c:v>
                </c:pt>
                <c:pt idx="100">
                  <c:v>-5.0999999999999996</c:v>
                </c:pt>
                <c:pt idx="101">
                  <c:v>-2.5</c:v>
                </c:pt>
                <c:pt idx="102">
                  <c:v>-3.7</c:v>
                </c:pt>
                <c:pt idx="103">
                  <c:v>-5.6</c:v>
                </c:pt>
                <c:pt idx="104">
                  <c:v>-4.8</c:v>
                </c:pt>
                <c:pt idx="105">
                  <c:v>1.3</c:v>
                </c:pt>
                <c:pt idx="106">
                  <c:v>2.1</c:v>
                </c:pt>
                <c:pt idx="107">
                  <c:v>-0.9</c:v>
                </c:pt>
                <c:pt idx="108">
                  <c:v>-3.2</c:v>
                </c:pt>
                <c:pt idx="109">
                  <c:v>-2.5</c:v>
                </c:pt>
                <c:pt idx="110">
                  <c:v>-3.1</c:v>
                </c:pt>
                <c:pt idx="1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0D-4F76-A9E0-61ABD78E9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443678"/>
        <c:axId val="1066794182"/>
      </c:scatterChart>
      <c:valAx>
        <c:axId val="14344436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Discharge (ft^3/s)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6794182"/>
        <c:crosses val="autoZero"/>
        <c:crossBetween val="midCat"/>
      </c:valAx>
      <c:valAx>
        <c:axId val="1066794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Isotope Concentration (per mil)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444367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l-GR" b="0">
                <a:solidFill>
                  <a:srgbClr val="757575"/>
                </a:solidFill>
                <a:latin typeface="+mn-lt"/>
              </a:rPr>
              <a:t>δ18</a:t>
            </a:r>
            <a:r>
              <a:rPr lang="en-US" b="0">
                <a:solidFill>
                  <a:srgbClr val="757575"/>
                </a:solidFill>
                <a:latin typeface="+mn-lt"/>
              </a:rPr>
              <a:t>O (‰), </a:t>
            </a:r>
            <a:r>
              <a:rPr lang="el-GR" b="0">
                <a:solidFill>
                  <a:srgbClr val="757575"/>
                </a:solidFill>
                <a:latin typeface="+mn-lt"/>
              </a:rPr>
              <a:t>δ2</a:t>
            </a:r>
            <a:r>
              <a:rPr lang="en-US" b="0">
                <a:solidFill>
                  <a:srgbClr val="757575"/>
                </a:solidFill>
                <a:latin typeface="+mn-lt"/>
              </a:rPr>
              <a:t>H (‰) and Rn²²² (Bq/m³)</a:t>
            </a:r>
          </a:p>
        </c:rich>
      </c:tx>
      <c:layout>
        <c:manualLayout>
          <c:xMode val="edge"/>
          <c:yMode val="edge"/>
          <c:x val="3.4250000000000003E-2"/>
          <c:y val="0.05"/>
        </c:manualLayout>
      </c:layout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'Hailey''s Data'!$D$1:$D$2</c:f>
              <c:strCache>
                <c:ptCount val="2"/>
                <c:pt idx="0">
                  <c:v>-2.6</c:v>
                </c:pt>
                <c:pt idx="1">
                  <c:v>-1.9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'Hailey''s Data'!$J$3:$J$1074</c:f>
              <c:strCache>
                <c:ptCount val="112"/>
                <c:pt idx="0">
                  <c:v>9.272717</c:v>
                </c:pt>
                <c:pt idx="1">
                  <c:v>14.0375921</c:v>
                </c:pt>
                <c:pt idx="2">
                  <c:v>68.7726688</c:v>
                </c:pt>
                <c:pt idx="3">
                  <c:v>14.7469771</c:v>
                </c:pt>
                <c:pt idx="4">
                  <c:v>84.999915</c:v>
                </c:pt>
                <c:pt idx="5">
                  <c:v>25.2751738</c:v>
                </c:pt>
                <c:pt idx="6">
                  <c:v>87.3181075</c:v>
                </c:pt>
                <c:pt idx="7">
                  <c:v>240.4219</c:v>
                </c:pt>
                <c:pt idx="8">
                  <c:v>57.9544963</c:v>
                </c:pt>
                <c:pt idx="9">
                  <c:v>279.846025</c:v>
                </c:pt>
                <c:pt idx="10">
                  <c:v>43.2726888</c:v>
                </c:pt>
                <c:pt idx="11">
                  <c:v>80.7161475</c:v>
                </c:pt>
                <c:pt idx="12">
                  <c:v>6.954538</c:v>
                </c:pt>
                <c:pt idx="13">
                  <c:v>11.9319539</c:v>
                </c:pt>
                <c:pt idx="14">
                  <c:v>45.5908713</c:v>
                </c:pt>
                <c:pt idx="15">
                  <c:v>119.344563</c:v>
                </c:pt>
                <c:pt idx="16">
                  <c:v>45.59087</c:v>
                </c:pt>
                <c:pt idx="17">
                  <c:v>3.08000338</c:v>
                </c:pt>
                <c:pt idx="18">
                  <c:v>90.5862638</c:v>
                </c:pt>
                <c:pt idx="19">
                  <c:v>6.953165</c:v>
                </c:pt>
                <c:pt idx="20">
                  <c:v>38.6020175</c:v>
                </c:pt>
                <c:pt idx="21">
                  <c:v>46.0854188</c:v>
                </c:pt>
                <c:pt idx="22">
                  <c:v>21.6061463</c:v>
                </c:pt>
                <c:pt idx="23">
                  <c:v>85.6670013</c:v>
                </c:pt>
                <c:pt idx="24">
                  <c:v>4.6281233</c:v>
                </c:pt>
                <c:pt idx="25">
                  <c:v>13.1672625</c:v>
                </c:pt>
                <c:pt idx="26">
                  <c:v>15.4270778</c:v>
                </c:pt>
                <c:pt idx="27">
                  <c:v>93.63542</c:v>
                </c:pt>
                <c:pt idx="28">
                  <c:v>137.1601475</c:v>
                </c:pt>
                <c:pt idx="29">
                  <c:v>89.6547288</c:v>
                </c:pt>
                <c:pt idx="30">
                  <c:v>34.7301488</c:v>
                </c:pt>
                <c:pt idx="31">
                  <c:v>10.8155153</c:v>
                </c:pt>
                <c:pt idx="32">
                  <c:v>2.893458</c:v>
                </c:pt>
                <c:pt idx="33">
                  <c:v>11.5703063</c:v>
                </c:pt>
                <c:pt idx="34">
                  <c:v>5.7674203</c:v>
                </c:pt>
                <c:pt idx="35">
                  <c:v>90.4090125</c:v>
                </c:pt>
                <c:pt idx="36">
                  <c:v>5.0468135</c:v>
                </c:pt>
                <c:pt idx="37">
                  <c:v>38.5924063</c:v>
                </c:pt>
                <c:pt idx="38">
                  <c:v>7.931806</c:v>
                </c:pt>
                <c:pt idx="40">
                  <c:v>220.9997875</c:v>
                </c:pt>
                <c:pt idx="41">
                  <c:v>3.613311</c:v>
                </c:pt>
                <c:pt idx="42">
                  <c:v>84.3552938</c:v>
                </c:pt>
                <c:pt idx="43">
                  <c:v>10.8476425</c:v>
                </c:pt>
                <c:pt idx="44">
                  <c:v>20.892555</c:v>
                </c:pt>
                <c:pt idx="45">
                  <c:v>2.169528</c:v>
                </c:pt>
                <c:pt idx="46">
                  <c:v>71.1790638</c:v>
                </c:pt>
                <c:pt idx="47">
                  <c:v>22.4030448</c:v>
                </c:pt>
                <c:pt idx="48">
                  <c:v>54.95036</c:v>
                </c:pt>
                <c:pt idx="49">
                  <c:v>5.78540975</c:v>
                </c:pt>
                <c:pt idx="50">
                  <c:v>360.36915</c:v>
                </c:pt>
                <c:pt idx="51">
                  <c:v>7.909755</c:v>
                </c:pt>
                <c:pt idx="52">
                  <c:v>102.93104</c:v>
                </c:pt>
                <c:pt idx="53">
                  <c:v>3.95722</c:v>
                </c:pt>
                <c:pt idx="54">
                  <c:v>13.159764</c:v>
                </c:pt>
                <c:pt idx="55">
                  <c:v>19.7814125</c:v>
                </c:pt>
                <c:pt idx="56">
                  <c:v>36.3746213</c:v>
                </c:pt>
                <c:pt idx="57">
                  <c:v>64.6228575</c:v>
                </c:pt>
                <c:pt idx="58">
                  <c:v>5.418727</c:v>
                </c:pt>
                <c:pt idx="59">
                  <c:v>26.367405</c:v>
                </c:pt>
                <c:pt idx="60">
                  <c:v>215.840238</c:v>
                </c:pt>
                <c:pt idx="61">
                  <c:v>83.0500688</c:v>
                </c:pt>
                <c:pt idx="62">
                  <c:v>129.977955</c:v>
                </c:pt>
                <c:pt idx="63">
                  <c:v>52.6170713</c:v>
                </c:pt>
                <c:pt idx="64">
                  <c:v>10.5525863</c:v>
                </c:pt>
                <c:pt idx="65">
                  <c:v>6.59068</c:v>
                </c:pt>
                <c:pt idx="66">
                  <c:v>112.96968</c:v>
                </c:pt>
                <c:pt idx="67">
                  <c:v>11.866975</c:v>
                </c:pt>
                <c:pt idx="68">
                  <c:v>20.8952978</c:v>
                </c:pt>
                <c:pt idx="69">
                  <c:v>3.95722</c:v>
                </c:pt>
                <c:pt idx="70">
                  <c:v>213.6653</c:v>
                </c:pt>
                <c:pt idx="71">
                  <c:v>8.6755458</c:v>
                </c:pt>
                <c:pt idx="72">
                  <c:v>67.3112913</c:v>
                </c:pt>
                <c:pt idx="73">
                  <c:v>5.7854095</c:v>
                </c:pt>
                <c:pt idx="74">
                  <c:v>5.41597725</c:v>
                </c:pt>
                <c:pt idx="75">
                  <c:v>2.1708194</c:v>
                </c:pt>
                <c:pt idx="76">
                  <c:v>80.98831</c:v>
                </c:pt>
                <c:pt idx="77">
                  <c:v>44.99464</c:v>
                </c:pt>
                <c:pt idx="78">
                  <c:v>37.1870975</c:v>
                </c:pt>
                <c:pt idx="79">
                  <c:v>50.2920075</c:v>
                </c:pt>
                <c:pt idx="80">
                  <c:v>5.71915588</c:v>
                </c:pt>
                <c:pt idx="81">
                  <c:v>46.29373</c:v>
                </c:pt>
                <c:pt idx="82">
                  <c:v>119.9599</c:v>
                </c:pt>
                <c:pt idx="83">
                  <c:v>18.07814</c:v>
                </c:pt>
                <c:pt idx="84">
                  <c:v>92.86772</c:v>
                </c:pt>
                <c:pt idx="85">
                  <c:v>18.57575</c:v>
                </c:pt>
                <c:pt idx="86">
                  <c:v>7.952364</c:v>
                </c:pt>
                <c:pt idx="87">
                  <c:v>23.15198</c:v>
                </c:pt>
                <c:pt idx="88">
                  <c:v>1328.378</c:v>
                </c:pt>
                <c:pt idx="89">
                  <c:v>60.06</c:v>
                </c:pt>
                <c:pt idx="90">
                  <c:v>175.0679</c:v>
                </c:pt>
                <c:pt idx="91">
                  <c:v>29.6374025</c:v>
                </c:pt>
                <c:pt idx="92">
                  <c:v>12.3856625</c:v>
                </c:pt>
                <c:pt idx="93">
                  <c:v>10.1309235</c:v>
                </c:pt>
                <c:pt idx="94">
                  <c:v>12.3856618</c:v>
                </c:pt>
                <c:pt idx="95">
                  <c:v>7.954938</c:v>
                </c:pt>
                <c:pt idx="96">
                  <c:v>78.9586113</c:v>
                </c:pt>
                <c:pt idx="97">
                  <c:v>70.1818863</c:v>
                </c:pt>
                <c:pt idx="98">
                  <c:v>260.141125</c:v>
                </c:pt>
                <c:pt idx="99">
                  <c:v>23.1275263</c:v>
                </c:pt>
                <c:pt idx="100">
                  <c:v>178.7382625</c:v>
                </c:pt>
                <c:pt idx="101">
                  <c:v>3.617172</c:v>
                </c:pt>
                <c:pt idx="102">
                  <c:v>813.8061</c:v>
                </c:pt>
                <c:pt idx="103">
                  <c:v>70.87923</c:v>
                </c:pt>
                <c:pt idx="104">
                  <c:v>88.33104</c:v>
                </c:pt>
                <c:pt idx="105">
                  <c:v>25.71867</c:v>
                </c:pt>
                <c:pt idx="106">
                  <c:v>21.10517</c:v>
                </c:pt>
                <c:pt idx="107">
                  <c:v>85.36598</c:v>
                </c:pt>
                <c:pt idx="108">
                  <c:v>36.92936</c:v>
                </c:pt>
                <c:pt idx="109">
                  <c:v>33.252</c:v>
                </c:pt>
                <c:pt idx="110">
                  <c:v>51.42511</c:v>
                </c:pt>
                <c:pt idx="111">
                  <c:v>Radon (Bq/m^3)</c:v>
                </c:pt>
              </c:strCache>
            </c:strRef>
          </c:xVal>
          <c:yVal>
            <c:numRef>
              <c:f>'Hailey''s Data'!$D$3:$D$1074</c:f>
              <c:numCache>
                <c:formatCode>General</c:formatCode>
                <c:ptCount val="1072"/>
                <c:pt idx="0">
                  <c:v>-4</c:v>
                </c:pt>
                <c:pt idx="1">
                  <c:v>-3.9</c:v>
                </c:pt>
                <c:pt idx="2">
                  <c:v>-8.3000000000000007</c:v>
                </c:pt>
                <c:pt idx="3">
                  <c:v>-8.4</c:v>
                </c:pt>
                <c:pt idx="4">
                  <c:v>-6.8</c:v>
                </c:pt>
                <c:pt idx="5">
                  <c:v>-5</c:v>
                </c:pt>
                <c:pt idx="6">
                  <c:v>-3.7</c:v>
                </c:pt>
                <c:pt idx="7">
                  <c:v>-2.6</c:v>
                </c:pt>
                <c:pt idx="8">
                  <c:v>-3.1</c:v>
                </c:pt>
                <c:pt idx="9">
                  <c:v>-3.1</c:v>
                </c:pt>
                <c:pt idx="10">
                  <c:v>-2.5</c:v>
                </c:pt>
                <c:pt idx="11">
                  <c:v>-2.4</c:v>
                </c:pt>
                <c:pt idx="12">
                  <c:v>-2.1</c:v>
                </c:pt>
                <c:pt idx="13">
                  <c:v>-2.1</c:v>
                </c:pt>
                <c:pt idx="14">
                  <c:v>-2.1</c:v>
                </c:pt>
                <c:pt idx="15">
                  <c:v>-2.1</c:v>
                </c:pt>
                <c:pt idx="16">
                  <c:v>-1.3</c:v>
                </c:pt>
                <c:pt idx="17">
                  <c:v>-2.8</c:v>
                </c:pt>
                <c:pt idx="18">
                  <c:v>-2.9</c:v>
                </c:pt>
                <c:pt idx="19">
                  <c:v>-3.1</c:v>
                </c:pt>
                <c:pt idx="20">
                  <c:v>-2.7</c:v>
                </c:pt>
                <c:pt idx="21">
                  <c:v>-2.7</c:v>
                </c:pt>
                <c:pt idx="22">
                  <c:v>-2.2999999999999998</c:v>
                </c:pt>
                <c:pt idx="23">
                  <c:v>-2.2999999999999998</c:v>
                </c:pt>
                <c:pt idx="24">
                  <c:v>-2.1</c:v>
                </c:pt>
                <c:pt idx="25">
                  <c:v>-2.1</c:v>
                </c:pt>
                <c:pt idx="26">
                  <c:v>-2.2000000000000002</c:v>
                </c:pt>
                <c:pt idx="27">
                  <c:v>-2.2000000000000002</c:v>
                </c:pt>
                <c:pt idx="28">
                  <c:v>-1.4</c:v>
                </c:pt>
                <c:pt idx="29">
                  <c:v>-2.6</c:v>
                </c:pt>
                <c:pt idx="30">
                  <c:v>-2.4</c:v>
                </c:pt>
                <c:pt idx="31">
                  <c:v>-2.4</c:v>
                </c:pt>
                <c:pt idx="32">
                  <c:v>-2.4</c:v>
                </c:pt>
                <c:pt idx="33">
                  <c:v>-2.1</c:v>
                </c:pt>
                <c:pt idx="34">
                  <c:v>-2.2999999999999998</c:v>
                </c:pt>
                <c:pt idx="35">
                  <c:v>-2.4</c:v>
                </c:pt>
                <c:pt idx="36">
                  <c:v>-2.6</c:v>
                </c:pt>
                <c:pt idx="37">
                  <c:v>-2.4</c:v>
                </c:pt>
                <c:pt idx="38">
                  <c:v>-2.2999999999999998</c:v>
                </c:pt>
                <c:pt idx="39">
                  <c:v>-3</c:v>
                </c:pt>
                <c:pt idx="40">
                  <c:v>-2.6</c:v>
                </c:pt>
                <c:pt idx="41">
                  <c:v>-0.5</c:v>
                </c:pt>
                <c:pt idx="42">
                  <c:v>-1.3</c:v>
                </c:pt>
                <c:pt idx="43">
                  <c:v>-2.2999999999999998</c:v>
                </c:pt>
                <c:pt idx="44">
                  <c:v>-2.4</c:v>
                </c:pt>
                <c:pt idx="45">
                  <c:v>-2.4</c:v>
                </c:pt>
                <c:pt idx="46">
                  <c:v>-2.2999999999999998</c:v>
                </c:pt>
                <c:pt idx="47">
                  <c:v>-2.2999999999999998</c:v>
                </c:pt>
                <c:pt idx="48">
                  <c:v>-2.1</c:v>
                </c:pt>
                <c:pt idx="49">
                  <c:v>-2.5</c:v>
                </c:pt>
                <c:pt idx="50">
                  <c:v>-2.5</c:v>
                </c:pt>
                <c:pt idx="51">
                  <c:v>-0.3</c:v>
                </c:pt>
                <c:pt idx="52">
                  <c:v>-1.6</c:v>
                </c:pt>
                <c:pt idx="53">
                  <c:v>-2.2999999999999998</c:v>
                </c:pt>
                <c:pt idx="54">
                  <c:v>-2.2999999999999998</c:v>
                </c:pt>
                <c:pt idx="55">
                  <c:v>-2.6</c:v>
                </c:pt>
                <c:pt idx="56">
                  <c:v>-2.4</c:v>
                </c:pt>
                <c:pt idx="57">
                  <c:v>-2.4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-2.2999999999999998</c:v>
                </c:pt>
                <c:pt idx="61">
                  <c:v>-0.3</c:v>
                </c:pt>
                <c:pt idx="62">
                  <c:v>-1.2</c:v>
                </c:pt>
                <c:pt idx="63">
                  <c:v>-2.2999999999999998</c:v>
                </c:pt>
                <c:pt idx="64">
                  <c:v>-2.5</c:v>
                </c:pt>
                <c:pt idx="65">
                  <c:v>-2.8</c:v>
                </c:pt>
                <c:pt idx="66">
                  <c:v>-2.4</c:v>
                </c:pt>
                <c:pt idx="67">
                  <c:v>-2.4</c:v>
                </c:pt>
                <c:pt idx="68">
                  <c:v>-2.4</c:v>
                </c:pt>
                <c:pt idx="69">
                  <c:v>-2.7</c:v>
                </c:pt>
                <c:pt idx="70">
                  <c:v>-2.4</c:v>
                </c:pt>
                <c:pt idx="71">
                  <c:v>-0.4</c:v>
                </c:pt>
                <c:pt idx="72">
                  <c:v>-0.9</c:v>
                </c:pt>
                <c:pt idx="73">
                  <c:v>-2.4</c:v>
                </c:pt>
                <c:pt idx="74">
                  <c:v>-2.4</c:v>
                </c:pt>
                <c:pt idx="75">
                  <c:v>-2.4</c:v>
                </c:pt>
                <c:pt idx="76">
                  <c:v>-2.2000000000000002</c:v>
                </c:pt>
                <c:pt idx="77">
                  <c:v>-2.5</c:v>
                </c:pt>
                <c:pt idx="78">
                  <c:v>-1.8</c:v>
                </c:pt>
                <c:pt idx="79">
                  <c:v>-2.4</c:v>
                </c:pt>
                <c:pt idx="80">
                  <c:v>-2.6</c:v>
                </c:pt>
                <c:pt idx="81">
                  <c:v>-0.4</c:v>
                </c:pt>
                <c:pt idx="82">
                  <c:v>-0.9</c:v>
                </c:pt>
                <c:pt idx="83">
                  <c:v>-2.2999999999999998</c:v>
                </c:pt>
                <c:pt idx="84">
                  <c:v>-2.2000000000000002</c:v>
                </c:pt>
                <c:pt idx="85">
                  <c:v>-2.4</c:v>
                </c:pt>
                <c:pt idx="86">
                  <c:v>-2.4</c:v>
                </c:pt>
                <c:pt idx="87">
                  <c:v>-2.4</c:v>
                </c:pt>
                <c:pt idx="88">
                  <c:v>-2.1</c:v>
                </c:pt>
                <c:pt idx="89">
                  <c:v>-2.6</c:v>
                </c:pt>
                <c:pt idx="90">
                  <c:v>-2.5</c:v>
                </c:pt>
                <c:pt idx="91">
                  <c:v>-3.4</c:v>
                </c:pt>
                <c:pt idx="92">
                  <c:v>-5.6</c:v>
                </c:pt>
                <c:pt idx="93">
                  <c:v>-2.7</c:v>
                </c:pt>
                <c:pt idx="94">
                  <c:v>-2.5</c:v>
                </c:pt>
                <c:pt idx="95">
                  <c:v>-2.5</c:v>
                </c:pt>
                <c:pt idx="96">
                  <c:v>-2.5</c:v>
                </c:pt>
                <c:pt idx="97">
                  <c:v>-3.9</c:v>
                </c:pt>
                <c:pt idx="98">
                  <c:v>-3.8</c:v>
                </c:pt>
                <c:pt idx="99">
                  <c:v>-2.8</c:v>
                </c:pt>
                <c:pt idx="100">
                  <c:v>-2.4</c:v>
                </c:pt>
                <c:pt idx="101">
                  <c:v>-2.4</c:v>
                </c:pt>
                <c:pt idx="102">
                  <c:v>-2.2000000000000002</c:v>
                </c:pt>
                <c:pt idx="103">
                  <c:v>-2.6</c:v>
                </c:pt>
                <c:pt idx="104">
                  <c:v>-2.4</c:v>
                </c:pt>
                <c:pt idx="105">
                  <c:v>-1.6</c:v>
                </c:pt>
                <c:pt idx="106">
                  <c:v>-1.5</c:v>
                </c:pt>
                <c:pt idx="107">
                  <c:v>-1.6</c:v>
                </c:pt>
                <c:pt idx="108">
                  <c:v>-2.4</c:v>
                </c:pt>
                <c:pt idx="109">
                  <c:v>-2.2999999999999998</c:v>
                </c:pt>
                <c:pt idx="110">
                  <c:v>-2.4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AD-4F06-8EC5-F01F533F9A44}"/>
            </c:ext>
          </c:extLst>
        </c:ser>
        <c:ser>
          <c:idx val="1"/>
          <c:order val="1"/>
          <c:tx>
            <c:strRef>
              <c:f>'Hailey''s Data'!$E$1:$E$2</c:f>
              <c:strCache>
                <c:ptCount val="2"/>
                <c:pt idx="0">
                  <c:v>-6.7</c:v>
                </c:pt>
                <c:pt idx="1">
                  <c:v>-2.2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'Hailey''s Data'!$J$3:$J$1074</c:f>
              <c:strCache>
                <c:ptCount val="112"/>
                <c:pt idx="0">
                  <c:v>9.272717</c:v>
                </c:pt>
                <c:pt idx="1">
                  <c:v>14.0375921</c:v>
                </c:pt>
                <c:pt idx="2">
                  <c:v>68.7726688</c:v>
                </c:pt>
                <c:pt idx="3">
                  <c:v>14.7469771</c:v>
                </c:pt>
                <c:pt idx="4">
                  <c:v>84.999915</c:v>
                </c:pt>
                <c:pt idx="5">
                  <c:v>25.2751738</c:v>
                </c:pt>
                <c:pt idx="6">
                  <c:v>87.3181075</c:v>
                </c:pt>
                <c:pt idx="7">
                  <c:v>240.4219</c:v>
                </c:pt>
                <c:pt idx="8">
                  <c:v>57.9544963</c:v>
                </c:pt>
                <c:pt idx="9">
                  <c:v>279.846025</c:v>
                </c:pt>
                <c:pt idx="10">
                  <c:v>43.2726888</c:v>
                </c:pt>
                <c:pt idx="11">
                  <c:v>80.7161475</c:v>
                </c:pt>
                <c:pt idx="12">
                  <c:v>6.954538</c:v>
                </c:pt>
                <c:pt idx="13">
                  <c:v>11.9319539</c:v>
                </c:pt>
                <c:pt idx="14">
                  <c:v>45.5908713</c:v>
                </c:pt>
                <c:pt idx="15">
                  <c:v>119.344563</c:v>
                </c:pt>
                <c:pt idx="16">
                  <c:v>45.59087</c:v>
                </c:pt>
                <c:pt idx="17">
                  <c:v>3.08000338</c:v>
                </c:pt>
                <c:pt idx="18">
                  <c:v>90.5862638</c:v>
                </c:pt>
                <c:pt idx="19">
                  <c:v>6.953165</c:v>
                </c:pt>
                <c:pt idx="20">
                  <c:v>38.6020175</c:v>
                </c:pt>
                <c:pt idx="21">
                  <c:v>46.0854188</c:v>
                </c:pt>
                <c:pt idx="22">
                  <c:v>21.6061463</c:v>
                </c:pt>
                <c:pt idx="23">
                  <c:v>85.6670013</c:v>
                </c:pt>
                <c:pt idx="24">
                  <c:v>4.6281233</c:v>
                </c:pt>
                <c:pt idx="25">
                  <c:v>13.1672625</c:v>
                </c:pt>
                <c:pt idx="26">
                  <c:v>15.4270778</c:v>
                </c:pt>
                <c:pt idx="27">
                  <c:v>93.63542</c:v>
                </c:pt>
                <c:pt idx="28">
                  <c:v>137.1601475</c:v>
                </c:pt>
                <c:pt idx="29">
                  <c:v>89.6547288</c:v>
                </c:pt>
                <c:pt idx="30">
                  <c:v>34.7301488</c:v>
                </c:pt>
                <c:pt idx="31">
                  <c:v>10.8155153</c:v>
                </c:pt>
                <c:pt idx="32">
                  <c:v>2.893458</c:v>
                </c:pt>
                <c:pt idx="33">
                  <c:v>11.5703063</c:v>
                </c:pt>
                <c:pt idx="34">
                  <c:v>5.7674203</c:v>
                </c:pt>
                <c:pt idx="35">
                  <c:v>90.4090125</c:v>
                </c:pt>
                <c:pt idx="36">
                  <c:v>5.0468135</c:v>
                </c:pt>
                <c:pt idx="37">
                  <c:v>38.5924063</c:v>
                </c:pt>
                <c:pt idx="38">
                  <c:v>7.931806</c:v>
                </c:pt>
                <c:pt idx="40">
                  <c:v>220.9997875</c:v>
                </c:pt>
                <c:pt idx="41">
                  <c:v>3.613311</c:v>
                </c:pt>
                <c:pt idx="42">
                  <c:v>84.3552938</c:v>
                </c:pt>
                <c:pt idx="43">
                  <c:v>10.8476425</c:v>
                </c:pt>
                <c:pt idx="44">
                  <c:v>20.892555</c:v>
                </c:pt>
                <c:pt idx="45">
                  <c:v>2.169528</c:v>
                </c:pt>
                <c:pt idx="46">
                  <c:v>71.1790638</c:v>
                </c:pt>
                <c:pt idx="47">
                  <c:v>22.4030448</c:v>
                </c:pt>
                <c:pt idx="48">
                  <c:v>54.95036</c:v>
                </c:pt>
                <c:pt idx="49">
                  <c:v>5.78540975</c:v>
                </c:pt>
                <c:pt idx="50">
                  <c:v>360.36915</c:v>
                </c:pt>
                <c:pt idx="51">
                  <c:v>7.909755</c:v>
                </c:pt>
                <c:pt idx="52">
                  <c:v>102.93104</c:v>
                </c:pt>
                <c:pt idx="53">
                  <c:v>3.95722</c:v>
                </c:pt>
                <c:pt idx="54">
                  <c:v>13.159764</c:v>
                </c:pt>
                <c:pt idx="55">
                  <c:v>19.7814125</c:v>
                </c:pt>
                <c:pt idx="56">
                  <c:v>36.3746213</c:v>
                </c:pt>
                <c:pt idx="57">
                  <c:v>64.6228575</c:v>
                </c:pt>
                <c:pt idx="58">
                  <c:v>5.418727</c:v>
                </c:pt>
                <c:pt idx="59">
                  <c:v>26.367405</c:v>
                </c:pt>
                <c:pt idx="60">
                  <c:v>215.840238</c:v>
                </c:pt>
                <c:pt idx="61">
                  <c:v>83.0500688</c:v>
                </c:pt>
                <c:pt idx="62">
                  <c:v>129.977955</c:v>
                </c:pt>
                <c:pt idx="63">
                  <c:v>52.6170713</c:v>
                </c:pt>
                <c:pt idx="64">
                  <c:v>10.5525863</c:v>
                </c:pt>
                <c:pt idx="65">
                  <c:v>6.59068</c:v>
                </c:pt>
                <c:pt idx="66">
                  <c:v>112.96968</c:v>
                </c:pt>
                <c:pt idx="67">
                  <c:v>11.866975</c:v>
                </c:pt>
                <c:pt idx="68">
                  <c:v>20.8952978</c:v>
                </c:pt>
                <c:pt idx="69">
                  <c:v>3.95722</c:v>
                </c:pt>
                <c:pt idx="70">
                  <c:v>213.6653</c:v>
                </c:pt>
                <c:pt idx="71">
                  <c:v>8.6755458</c:v>
                </c:pt>
                <c:pt idx="72">
                  <c:v>67.3112913</c:v>
                </c:pt>
                <c:pt idx="73">
                  <c:v>5.7854095</c:v>
                </c:pt>
                <c:pt idx="74">
                  <c:v>5.41597725</c:v>
                </c:pt>
                <c:pt idx="75">
                  <c:v>2.1708194</c:v>
                </c:pt>
                <c:pt idx="76">
                  <c:v>80.98831</c:v>
                </c:pt>
                <c:pt idx="77">
                  <c:v>44.99464</c:v>
                </c:pt>
                <c:pt idx="78">
                  <c:v>37.1870975</c:v>
                </c:pt>
                <c:pt idx="79">
                  <c:v>50.2920075</c:v>
                </c:pt>
                <c:pt idx="80">
                  <c:v>5.71915588</c:v>
                </c:pt>
                <c:pt idx="81">
                  <c:v>46.29373</c:v>
                </c:pt>
                <c:pt idx="82">
                  <c:v>119.9599</c:v>
                </c:pt>
                <c:pt idx="83">
                  <c:v>18.07814</c:v>
                </c:pt>
                <c:pt idx="84">
                  <c:v>92.86772</c:v>
                </c:pt>
                <c:pt idx="85">
                  <c:v>18.57575</c:v>
                </c:pt>
                <c:pt idx="86">
                  <c:v>7.952364</c:v>
                </c:pt>
                <c:pt idx="87">
                  <c:v>23.15198</c:v>
                </c:pt>
                <c:pt idx="88">
                  <c:v>1328.378</c:v>
                </c:pt>
                <c:pt idx="89">
                  <c:v>60.06</c:v>
                </c:pt>
                <c:pt idx="90">
                  <c:v>175.0679</c:v>
                </c:pt>
                <c:pt idx="91">
                  <c:v>29.6374025</c:v>
                </c:pt>
                <c:pt idx="92">
                  <c:v>12.3856625</c:v>
                </c:pt>
                <c:pt idx="93">
                  <c:v>10.1309235</c:v>
                </c:pt>
                <c:pt idx="94">
                  <c:v>12.3856618</c:v>
                </c:pt>
                <c:pt idx="95">
                  <c:v>7.954938</c:v>
                </c:pt>
                <c:pt idx="96">
                  <c:v>78.9586113</c:v>
                </c:pt>
                <c:pt idx="97">
                  <c:v>70.1818863</c:v>
                </c:pt>
                <c:pt idx="98">
                  <c:v>260.141125</c:v>
                </c:pt>
                <c:pt idx="99">
                  <c:v>23.1275263</c:v>
                </c:pt>
                <c:pt idx="100">
                  <c:v>178.7382625</c:v>
                </c:pt>
                <c:pt idx="101">
                  <c:v>3.617172</c:v>
                </c:pt>
                <c:pt idx="102">
                  <c:v>813.8061</c:v>
                </c:pt>
                <c:pt idx="103">
                  <c:v>70.87923</c:v>
                </c:pt>
                <c:pt idx="104">
                  <c:v>88.33104</c:v>
                </c:pt>
                <c:pt idx="105">
                  <c:v>25.71867</c:v>
                </c:pt>
                <c:pt idx="106">
                  <c:v>21.10517</c:v>
                </c:pt>
                <c:pt idx="107">
                  <c:v>85.36598</c:v>
                </c:pt>
                <c:pt idx="108">
                  <c:v>36.92936</c:v>
                </c:pt>
                <c:pt idx="109">
                  <c:v>33.252</c:v>
                </c:pt>
                <c:pt idx="110">
                  <c:v>51.42511</c:v>
                </c:pt>
                <c:pt idx="111">
                  <c:v>Radon (Bq/m^3)</c:v>
                </c:pt>
              </c:strCache>
            </c:strRef>
          </c:xVal>
          <c:yVal>
            <c:numRef>
              <c:f>'Hailey''s Data'!$E$3:$E$1074</c:f>
              <c:numCache>
                <c:formatCode>General</c:formatCode>
                <c:ptCount val="1072"/>
                <c:pt idx="0">
                  <c:v>-21.4</c:v>
                </c:pt>
                <c:pt idx="1">
                  <c:v>-20.6</c:v>
                </c:pt>
                <c:pt idx="2">
                  <c:v>-57.5</c:v>
                </c:pt>
                <c:pt idx="3">
                  <c:v>-58.3</c:v>
                </c:pt>
                <c:pt idx="4">
                  <c:v>-46.3</c:v>
                </c:pt>
                <c:pt idx="5">
                  <c:v>-26.9</c:v>
                </c:pt>
                <c:pt idx="6">
                  <c:v>-14.1</c:v>
                </c:pt>
                <c:pt idx="7">
                  <c:v>-7.6</c:v>
                </c:pt>
                <c:pt idx="8">
                  <c:v>-10.6</c:v>
                </c:pt>
                <c:pt idx="9">
                  <c:v>-10.3</c:v>
                </c:pt>
                <c:pt idx="10">
                  <c:v>-6.5</c:v>
                </c:pt>
                <c:pt idx="11">
                  <c:v>-5.7</c:v>
                </c:pt>
                <c:pt idx="12">
                  <c:v>-4.2</c:v>
                </c:pt>
                <c:pt idx="13">
                  <c:v>-4.0999999999999996</c:v>
                </c:pt>
                <c:pt idx="14">
                  <c:v>-4.4000000000000004</c:v>
                </c:pt>
                <c:pt idx="15">
                  <c:v>-4.2</c:v>
                </c:pt>
                <c:pt idx="16">
                  <c:v>-1.6</c:v>
                </c:pt>
                <c:pt idx="17">
                  <c:v>-6.4</c:v>
                </c:pt>
                <c:pt idx="18">
                  <c:v>-6.7</c:v>
                </c:pt>
                <c:pt idx="19">
                  <c:v>-10.3</c:v>
                </c:pt>
                <c:pt idx="20">
                  <c:v>-6.9</c:v>
                </c:pt>
                <c:pt idx="21">
                  <c:v>-6.9</c:v>
                </c:pt>
                <c:pt idx="22">
                  <c:v>-4.5999999999999996</c:v>
                </c:pt>
                <c:pt idx="23">
                  <c:v>-4.5</c:v>
                </c:pt>
                <c:pt idx="24">
                  <c:v>-3.8</c:v>
                </c:pt>
                <c:pt idx="25">
                  <c:v>-3.6</c:v>
                </c:pt>
                <c:pt idx="26">
                  <c:v>-4.5999999999999996</c:v>
                </c:pt>
                <c:pt idx="27">
                  <c:v>-4.7</c:v>
                </c:pt>
                <c:pt idx="28">
                  <c:v>-2</c:v>
                </c:pt>
                <c:pt idx="29">
                  <c:v>-5.4</c:v>
                </c:pt>
                <c:pt idx="30">
                  <c:v>-4.7</c:v>
                </c:pt>
                <c:pt idx="31">
                  <c:v>-4.4000000000000004</c:v>
                </c:pt>
                <c:pt idx="32">
                  <c:v>-4.5999999999999996</c:v>
                </c:pt>
                <c:pt idx="33">
                  <c:v>-4.5</c:v>
                </c:pt>
                <c:pt idx="34">
                  <c:v>-4.3</c:v>
                </c:pt>
                <c:pt idx="35">
                  <c:v>-4.0999999999999996</c:v>
                </c:pt>
                <c:pt idx="36">
                  <c:v>-0.2</c:v>
                </c:pt>
                <c:pt idx="37">
                  <c:v>-0.4</c:v>
                </c:pt>
                <c:pt idx="38">
                  <c:v>0.3</c:v>
                </c:pt>
                <c:pt idx="39">
                  <c:v>-4.3</c:v>
                </c:pt>
                <c:pt idx="40">
                  <c:v>-3.8</c:v>
                </c:pt>
                <c:pt idx="41">
                  <c:v>0.6</c:v>
                </c:pt>
                <c:pt idx="42">
                  <c:v>-1.9</c:v>
                </c:pt>
                <c:pt idx="43">
                  <c:v>-4.4000000000000004</c:v>
                </c:pt>
                <c:pt idx="44">
                  <c:v>-4.9000000000000004</c:v>
                </c:pt>
                <c:pt idx="45">
                  <c:v>-5.4</c:v>
                </c:pt>
                <c:pt idx="46">
                  <c:v>-4</c:v>
                </c:pt>
                <c:pt idx="47">
                  <c:v>-4.0999999999999996</c:v>
                </c:pt>
                <c:pt idx="48">
                  <c:v>-3.1</c:v>
                </c:pt>
                <c:pt idx="49">
                  <c:v>-4.2</c:v>
                </c:pt>
                <c:pt idx="50">
                  <c:v>-4.2</c:v>
                </c:pt>
                <c:pt idx="51">
                  <c:v>1.2</c:v>
                </c:pt>
                <c:pt idx="52">
                  <c:v>-2.6</c:v>
                </c:pt>
                <c:pt idx="53">
                  <c:v>-4.5999999999999996</c:v>
                </c:pt>
                <c:pt idx="54">
                  <c:v>-4.7</c:v>
                </c:pt>
                <c:pt idx="55">
                  <c:v>-5.3</c:v>
                </c:pt>
                <c:pt idx="56">
                  <c:v>-4.5999999999999996</c:v>
                </c:pt>
                <c:pt idx="57">
                  <c:v>-4.5999999999999996</c:v>
                </c:pt>
                <c:pt idx="58">
                  <c:v>-4.4000000000000004</c:v>
                </c:pt>
                <c:pt idx="59">
                  <c:v>-4.8</c:v>
                </c:pt>
                <c:pt idx="60">
                  <c:v>-4.0999999999999996</c:v>
                </c:pt>
                <c:pt idx="61">
                  <c:v>0.3</c:v>
                </c:pt>
                <c:pt idx="62">
                  <c:v>-2.1</c:v>
                </c:pt>
                <c:pt idx="63">
                  <c:v>-5.3</c:v>
                </c:pt>
                <c:pt idx="64">
                  <c:v>-6</c:v>
                </c:pt>
                <c:pt idx="65">
                  <c:v>-7.5</c:v>
                </c:pt>
                <c:pt idx="66">
                  <c:v>-5.0999999999999996</c:v>
                </c:pt>
                <c:pt idx="67">
                  <c:v>-5.3</c:v>
                </c:pt>
                <c:pt idx="68">
                  <c:v>-5.2</c:v>
                </c:pt>
                <c:pt idx="69">
                  <c:v>-6.6</c:v>
                </c:pt>
                <c:pt idx="70">
                  <c:v>-5.2</c:v>
                </c:pt>
                <c:pt idx="71">
                  <c:v>0.4</c:v>
                </c:pt>
                <c:pt idx="72">
                  <c:v>-1.2</c:v>
                </c:pt>
                <c:pt idx="73">
                  <c:v>-5.5</c:v>
                </c:pt>
                <c:pt idx="74">
                  <c:v>-6.2</c:v>
                </c:pt>
                <c:pt idx="75">
                  <c:v>-5.2</c:v>
                </c:pt>
                <c:pt idx="76">
                  <c:v>-5.5</c:v>
                </c:pt>
                <c:pt idx="77">
                  <c:v>-5.6</c:v>
                </c:pt>
                <c:pt idx="78">
                  <c:v>-2.8</c:v>
                </c:pt>
                <c:pt idx="79">
                  <c:v>-6</c:v>
                </c:pt>
                <c:pt idx="80">
                  <c:v>-6.1</c:v>
                </c:pt>
                <c:pt idx="81">
                  <c:v>0.9</c:v>
                </c:pt>
                <c:pt idx="82">
                  <c:v>-0.7</c:v>
                </c:pt>
                <c:pt idx="83">
                  <c:v>-4.2</c:v>
                </c:pt>
                <c:pt idx="84">
                  <c:v>-3.3</c:v>
                </c:pt>
                <c:pt idx="85">
                  <c:v>-4.5999999999999996</c:v>
                </c:pt>
                <c:pt idx="86">
                  <c:v>-5.2</c:v>
                </c:pt>
                <c:pt idx="87">
                  <c:v>-3.6</c:v>
                </c:pt>
                <c:pt idx="88">
                  <c:v>-3.2</c:v>
                </c:pt>
                <c:pt idx="89">
                  <c:v>-5.6</c:v>
                </c:pt>
                <c:pt idx="90">
                  <c:v>-5.0999999999999996</c:v>
                </c:pt>
                <c:pt idx="91">
                  <c:v>-14.6</c:v>
                </c:pt>
                <c:pt idx="92">
                  <c:v>-31.9</c:v>
                </c:pt>
                <c:pt idx="93">
                  <c:v>-6.7</c:v>
                </c:pt>
                <c:pt idx="94">
                  <c:v>-6.1</c:v>
                </c:pt>
                <c:pt idx="95">
                  <c:v>-5.4</c:v>
                </c:pt>
                <c:pt idx="96">
                  <c:v>-5.4</c:v>
                </c:pt>
                <c:pt idx="97">
                  <c:v>-18.899999999999999</c:v>
                </c:pt>
                <c:pt idx="98">
                  <c:v>-18.399999999999999</c:v>
                </c:pt>
                <c:pt idx="99">
                  <c:v>-6.6</c:v>
                </c:pt>
                <c:pt idx="100">
                  <c:v>-5.0999999999999996</c:v>
                </c:pt>
                <c:pt idx="101">
                  <c:v>-2.5</c:v>
                </c:pt>
                <c:pt idx="102">
                  <c:v>-3.7</c:v>
                </c:pt>
                <c:pt idx="103">
                  <c:v>-5.6</c:v>
                </c:pt>
                <c:pt idx="104">
                  <c:v>-4.8</c:v>
                </c:pt>
                <c:pt idx="105">
                  <c:v>1.3</c:v>
                </c:pt>
                <c:pt idx="106">
                  <c:v>2.1</c:v>
                </c:pt>
                <c:pt idx="107">
                  <c:v>-0.9</c:v>
                </c:pt>
                <c:pt idx="108">
                  <c:v>-3.2</c:v>
                </c:pt>
                <c:pt idx="109">
                  <c:v>-2.5</c:v>
                </c:pt>
                <c:pt idx="110">
                  <c:v>-3.1</c:v>
                </c:pt>
                <c:pt idx="1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AD-4F06-8EC5-F01F533F9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203241"/>
        <c:axId val="2014916697"/>
      </c:scatterChart>
      <c:valAx>
        <c:axId val="20982032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Radon (Bq/m³)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4916697"/>
        <c:crosses val="autoZero"/>
        <c:crossBetween val="midCat"/>
      </c:valAx>
      <c:valAx>
        <c:axId val="2014916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Isotope Concentration (‰)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820324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l-GR" b="0">
                <a:solidFill>
                  <a:srgbClr val="757575"/>
                </a:solidFill>
                <a:latin typeface="+mn-lt"/>
              </a:rPr>
              <a:t>δ18</a:t>
            </a:r>
            <a:r>
              <a:rPr lang="en-US" b="0">
                <a:solidFill>
                  <a:srgbClr val="757575"/>
                </a:solidFill>
                <a:latin typeface="+mn-lt"/>
              </a:rPr>
              <a:t>O (‰), </a:t>
            </a:r>
            <a:r>
              <a:rPr lang="el-GR" b="0">
                <a:solidFill>
                  <a:srgbClr val="757575"/>
                </a:solidFill>
                <a:latin typeface="+mn-lt"/>
              </a:rPr>
              <a:t>δ2</a:t>
            </a:r>
            <a:r>
              <a:rPr lang="en-US" b="0">
                <a:solidFill>
                  <a:srgbClr val="757575"/>
                </a:solidFill>
                <a:latin typeface="+mn-lt"/>
              </a:rPr>
              <a:t>H (‰) and SPC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'Hailey''s Data'!$D$1:$D$2</c:f>
              <c:strCache>
                <c:ptCount val="2"/>
                <c:pt idx="0">
                  <c:v>-2.6</c:v>
                </c:pt>
                <c:pt idx="1">
                  <c:v>-1.9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strRef>
              <c:f>'Hailey''s Data'!$K$3:$K$1074</c:f>
              <c:strCache>
                <c:ptCount val="112"/>
                <c:pt idx="0">
                  <c:v>135.6</c:v>
                </c:pt>
                <c:pt idx="1">
                  <c:v>134.7</c:v>
                </c:pt>
                <c:pt idx="2">
                  <c:v>128.7</c:v>
                </c:pt>
                <c:pt idx="3">
                  <c:v>247.2</c:v>
                </c:pt>
                <c:pt idx="4">
                  <c:v>6085</c:v>
                </c:pt>
                <c:pt idx="5">
                  <c:v>119.9</c:v>
                </c:pt>
                <c:pt idx="6">
                  <c:v>74.5</c:v>
                </c:pt>
                <c:pt idx="7">
                  <c:v>91.4</c:v>
                </c:pt>
                <c:pt idx="8">
                  <c:v>126.8</c:v>
                </c:pt>
                <c:pt idx="9">
                  <c:v>122.4</c:v>
                </c:pt>
                <c:pt idx="10">
                  <c:v>150.8</c:v>
                </c:pt>
                <c:pt idx="11">
                  <c:v>172.4</c:v>
                </c:pt>
                <c:pt idx="12">
                  <c:v>140.3</c:v>
                </c:pt>
                <c:pt idx="13">
                  <c:v>140.8</c:v>
                </c:pt>
                <c:pt idx="14">
                  <c:v>209.4</c:v>
                </c:pt>
                <c:pt idx="15">
                  <c:v>1058</c:v>
                </c:pt>
                <c:pt idx="16">
                  <c:v>17408</c:v>
                </c:pt>
                <c:pt idx="17">
                  <c:v>156</c:v>
                </c:pt>
                <c:pt idx="18">
                  <c:v>128.3</c:v>
                </c:pt>
                <c:pt idx="19">
                  <c:v>112.2</c:v>
                </c:pt>
                <c:pt idx="20">
                  <c:v>135</c:v>
                </c:pt>
                <c:pt idx="21">
                  <c:v>128</c:v>
                </c:pt>
                <c:pt idx="22">
                  <c:v>178</c:v>
                </c:pt>
                <c:pt idx="23">
                  <c:v>170.4</c:v>
                </c:pt>
                <c:pt idx="24">
                  <c:v>109.3</c:v>
                </c:pt>
                <c:pt idx="25">
                  <c:v>173.4</c:v>
                </c:pt>
                <c:pt idx="26">
                  <c:v>214.2</c:v>
                </c:pt>
                <c:pt idx="27">
                  <c:v>649</c:v>
                </c:pt>
                <c:pt idx="28">
                  <c:v>18092</c:v>
                </c:pt>
                <c:pt idx="29">
                  <c:v>106</c:v>
                </c:pt>
                <c:pt idx="30">
                  <c:v>188</c:v>
                </c:pt>
                <c:pt idx="31">
                  <c:v>3130</c:v>
                </c:pt>
                <c:pt idx="32">
                  <c:v>164</c:v>
                </c:pt>
                <c:pt idx="33">
                  <c:v>174.2</c:v>
                </c:pt>
                <c:pt idx="34">
                  <c:v>106.6</c:v>
                </c:pt>
                <c:pt idx="35">
                  <c:v>162</c:v>
                </c:pt>
                <c:pt idx="36">
                  <c:v>59</c:v>
                </c:pt>
                <c:pt idx="37">
                  <c:v>76.1</c:v>
                </c:pt>
                <c:pt idx="38">
                  <c:v>48.2</c:v>
                </c:pt>
                <c:pt idx="39">
                  <c:v>57.5</c:v>
                </c:pt>
                <c:pt idx="40">
                  <c:v>55.7</c:v>
                </c:pt>
                <c:pt idx="41">
                  <c:v>45500</c:v>
                </c:pt>
                <c:pt idx="42">
                  <c:v>21570</c:v>
                </c:pt>
                <c:pt idx="43">
                  <c:v>271.6</c:v>
                </c:pt>
                <c:pt idx="44">
                  <c:v>43.7</c:v>
                </c:pt>
                <c:pt idx="45">
                  <c:v>75</c:v>
                </c:pt>
                <c:pt idx="46">
                  <c:v>157</c:v>
                </c:pt>
                <c:pt idx="47">
                  <c:v>145.8</c:v>
                </c:pt>
                <c:pt idx="48">
                  <c:v>108</c:v>
                </c:pt>
                <c:pt idx="49">
                  <c:v>85.6</c:v>
                </c:pt>
                <c:pt idx="50">
                  <c:v>83</c:v>
                </c:pt>
                <c:pt idx="51">
                  <c:v>44289</c:v>
                </c:pt>
                <c:pt idx="52">
                  <c:v>15600</c:v>
                </c:pt>
                <c:pt idx="53">
                  <c:v>225</c:v>
                </c:pt>
                <c:pt idx="54">
                  <c:v>190.2</c:v>
                </c:pt>
                <c:pt idx="55">
                  <c:v>160</c:v>
                </c:pt>
                <c:pt idx="56">
                  <c:v>171.3</c:v>
                </c:pt>
                <c:pt idx="57">
                  <c:v>174.8</c:v>
                </c:pt>
                <c:pt idx="58">
                  <c:v>183.1</c:v>
                </c:pt>
                <c:pt idx="59">
                  <c:v>103.4</c:v>
                </c:pt>
                <c:pt idx="60">
                  <c:v>153</c:v>
                </c:pt>
                <c:pt idx="61">
                  <c:v>39250</c:v>
                </c:pt>
                <c:pt idx="62">
                  <c:v>25700</c:v>
                </c:pt>
                <c:pt idx="63">
                  <c:v>281.2</c:v>
                </c:pt>
                <c:pt idx="64">
                  <c:v>192.1</c:v>
                </c:pt>
                <c:pt idx="65">
                  <c:v>157.2</c:v>
                </c:pt>
                <c:pt idx="66">
                  <c:v>97.5</c:v>
                </c:pt>
                <c:pt idx="67">
                  <c:v>164.7</c:v>
                </c:pt>
                <c:pt idx="68">
                  <c:v>105.2</c:v>
                </c:pt>
                <c:pt idx="69">
                  <c:v>98.5</c:v>
                </c:pt>
                <c:pt idx="70">
                  <c:v>75.9</c:v>
                </c:pt>
                <c:pt idx="71">
                  <c:v>40844</c:v>
                </c:pt>
                <c:pt idx="72">
                  <c:v>30255</c:v>
                </c:pt>
                <c:pt idx="73">
                  <c:v>314</c:v>
                </c:pt>
                <c:pt idx="74">
                  <c:v>155.6</c:v>
                </c:pt>
                <c:pt idx="75">
                  <c:v>171.3</c:v>
                </c:pt>
                <c:pt idx="76">
                  <c:v>80.1</c:v>
                </c:pt>
                <c:pt idx="77">
                  <c:v>147.5</c:v>
                </c:pt>
                <c:pt idx="78">
                  <c:v>69.3</c:v>
                </c:pt>
                <c:pt idx="79">
                  <c:v>173.4</c:v>
                </c:pt>
                <c:pt idx="80">
                  <c:v>60.6</c:v>
                </c:pt>
                <c:pt idx="81">
                  <c:v>45600</c:v>
                </c:pt>
                <c:pt idx="82">
                  <c:v>26500</c:v>
                </c:pt>
                <c:pt idx="83">
                  <c:v>249.8</c:v>
                </c:pt>
                <c:pt idx="84">
                  <c:v>159.7</c:v>
                </c:pt>
                <c:pt idx="85">
                  <c:v>187</c:v>
                </c:pt>
                <c:pt idx="86">
                  <c:v>184</c:v>
                </c:pt>
                <c:pt idx="87">
                  <c:v>101.4</c:v>
                </c:pt>
                <c:pt idx="88">
                  <c:v>185.5</c:v>
                </c:pt>
                <c:pt idx="89">
                  <c:v>147.5</c:v>
                </c:pt>
                <c:pt idx="90">
                  <c:v>170.2</c:v>
                </c:pt>
                <c:pt idx="91">
                  <c:v>4243</c:v>
                </c:pt>
                <c:pt idx="92">
                  <c:v>122.5</c:v>
                </c:pt>
                <c:pt idx="93">
                  <c:v>196.4</c:v>
                </c:pt>
                <c:pt idx="94">
                  <c:v>179.8</c:v>
                </c:pt>
                <c:pt idx="95">
                  <c:v>180.8</c:v>
                </c:pt>
                <c:pt idx="96">
                  <c:v>171.2</c:v>
                </c:pt>
                <c:pt idx="97">
                  <c:v>125.1</c:v>
                </c:pt>
                <c:pt idx="98">
                  <c:v>127.2</c:v>
                </c:pt>
                <c:pt idx="99">
                  <c:v>86.3</c:v>
                </c:pt>
                <c:pt idx="100">
                  <c:v>165.4</c:v>
                </c:pt>
                <c:pt idx="101">
                  <c:v>117.1</c:v>
                </c:pt>
                <c:pt idx="102">
                  <c:v>190.9</c:v>
                </c:pt>
                <c:pt idx="103">
                  <c:v>158.5</c:v>
                </c:pt>
                <c:pt idx="104">
                  <c:v>102.2</c:v>
                </c:pt>
                <c:pt idx="105">
                  <c:v>168.7</c:v>
                </c:pt>
                <c:pt idx="106">
                  <c:v>165.6</c:v>
                </c:pt>
                <c:pt idx="107">
                  <c:v>18609</c:v>
                </c:pt>
                <c:pt idx="108">
                  <c:v>461.8</c:v>
                </c:pt>
                <c:pt idx="109">
                  <c:v>134.2</c:v>
                </c:pt>
                <c:pt idx="110">
                  <c:v>130.9</c:v>
                </c:pt>
                <c:pt idx="111">
                  <c:v>SPC</c:v>
                </c:pt>
              </c:strCache>
            </c:strRef>
          </c:xVal>
          <c:yVal>
            <c:numRef>
              <c:f>'Hailey''s Data'!$D$3:$D$1074</c:f>
              <c:numCache>
                <c:formatCode>General</c:formatCode>
                <c:ptCount val="1072"/>
                <c:pt idx="0">
                  <c:v>-4</c:v>
                </c:pt>
                <c:pt idx="1">
                  <c:v>-3.9</c:v>
                </c:pt>
                <c:pt idx="2">
                  <c:v>-8.3000000000000007</c:v>
                </c:pt>
                <c:pt idx="3">
                  <c:v>-8.4</c:v>
                </c:pt>
                <c:pt idx="4">
                  <c:v>-6.8</c:v>
                </c:pt>
                <c:pt idx="5">
                  <c:v>-5</c:v>
                </c:pt>
                <c:pt idx="6">
                  <c:v>-3.7</c:v>
                </c:pt>
                <c:pt idx="7">
                  <c:v>-2.6</c:v>
                </c:pt>
                <c:pt idx="8">
                  <c:v>-3.1</c:v>
                </c:pt>
                <c:pt idx="9">
                  <c:v>-3.1</c:v>
                </c:pt>
                <c:pt idx="10">
                  <c:v>-2.5</c:v>
                </c:pt>
                <c:pt idx="11">
                  <c:v>-2.4</c:v>
                </c:pt>
                <c:pt idx="12">
                  <c:v>-2.1</c:v>
                </c:pt>
                <c:pt idx="13">
                  <c:v>-2.1</c:v>
                </c:pt>
                <c:pt idx="14">
                  <c:v>-2.1</c:v>
                </c:pt>
                <c:pt idx="15">
                  <c:v>-2.1</c:v>
                </c:pt>
                <c:pt idx="16">
                  <c:v>-1.3</c:v>
                </c:pt>
                <c:pt idx="17">
                  <c:v>-2.8</c:v>
                </c:pt>
                <c:pt idx="18">
                  <c:v>-2.9</c:v>
                </c:pt>
                <c:pt idx="19">
                  <c:v>-3.1</c:v>
                </c:pt>
                <c:pt idx="20">
                  <c:v>-2.7</c:v>
                </c:pt>
                <c:pt idx="21">
                  <c:v>-2.7</c:v>
                </c:pt>
                <c:pt idx="22">
                  <c:v>-2.2999999999999998</c:v>
                </c:pt>
                <c:pt idx="23">
                  <c:v>-2.2999999999999998</c:v>
                </c:pt>
                <c:pt idx="24">
                  <c:v>-2.1</c:v>
                </c:pt>
                <c:pt idx="25">
                  <c:v>-2.1</c:v>
                </c:pt>
                <c:pt idx="26">
                  <c:v>-2.2000000000000002</c:v>
                </c:pt>
                <c:pt idx="27">
                  <c:v>-2.2000000000000002</c:v>
                </c:pt>
                <c:pt idx="28">
                  <c:v>-1.4</c:v>
                </c:pt>
                <c:pt idx="29">
                  <c:v>-2.6</c:v>
                </c:pt>
                <c:pt idx="30">
                  <c:v>-2.4</c:v>
                </c:pt>
                <c:pt idx="31">
                  <c:v>-2.4</c:v>
                </c:pt>
                <c:pt idx="32">
                  <c:v>-2.4</c:v>
                </c:pt>
                <c:pt idx="33">
                  <c:v>-2.1</c:v>
                </c:pt>
                <c:pt idx="34">
                  <c:v>-2.2999999999999998</c:v>
                </c:pt>
                <c:pt idx="35">
                  <c:v>-2.4</c:v>
                </c:pt>
                <c:pt idx="36">
                  <c:v>-2.6</c:v>
                </c:pt>
                <c:pt idx="37">
                  <c:v>-2.4</c:v>
                </c:pt>
                <c:pt idx="38">
                  <c:v>-2.2999999999999998</c:v>
                </c:pt>
                <c:pt idx="39">
                  <c:v>-3</c:v>
                </c:pt>
                <c:pt idx="40">
                  <c:v>-2.6</c:v>
                </c:pt>
                <c:pt idx="41">
                  <c:v>-0.5</c:v>
                </c:pt>
                <c:pt idx="42">
                  <c:v>-1.3</c:v>
                </c:pt>
                <c:pt idx="43">
                  <c:v>-2.2999999999999998</c:v>
                </c:pt>
                <c:pt idx="44">
                  <c:v>-2.4</c:v>
                </c:pt>
                <c:pt idx="45">
                  <c:v>-2.4</c:v>
                </c:pt>
                <c:pt idx="46">
                  <c:v>-2.2999999999999998</c:v>
                </c:pt>
                <c:pt idx="47">
                  <c:v>-2.2999999999999998</c:v>
                </c:pt>
                <c:pt idx="48">
                  <c:v>-2.1</c:v>
                </c:pt>
                <c:pt idx="49">
                  <c:v>-2.5</c:v>
                </c:pt>
                <c:pt idx="50">
                  <c:v>-2.5</c:v>
                </c:pt>
                <c:pt idx="51">
                  <c:v>-0.3</c:v>
                </c:pt>
                <c:pt idx="52">
                  <c:v>-1.6</c:v>
                </c:pt>
                <c:pt idx="53">
                  <c:v>-2.2999999999999998</c:v>
                </c:pt>
                <c:pt idx="54">
                  <c:v>-2.2999999999999998</c:v>
                </c:pt>
                <c:pt idx="55">
                  <c:v>-2.6</c:v>
                </c:pt>
                <c:pt idx="56">
                  <c:v>-2.4</c:v>
                </c:pt>
                <c:pt idx="57">
                  <c:v>-2.4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-2.2999999999999998</c:v>
                </c:pt>
                <c:pt idx="61">
                  <c:v>-0.3</c:v>
                </c:pt>
                <c:pt idx="62">
                  <c:v>-1.2</c:v>
                </c:pt>
                <c:pt idx="63">
                  <c:v>-2.2999999999999998</c:v>
                </c:pt>
                <c:pt idx="64">
                  <c:v>-2.5</c:v>
                </c:pt>
                <c:pt idx="65">
                  <c:v>-2.8</c:v>
                </c:pt>
                <c:pt idx="66">
                  <c:v>-2.4</c:v>
                </c:pt>
                <c:pt idx="67">
                  <c:v>-2.4</c:v>
                </c:pt>
                <c:pt idx="68">
                  <c:v>-2.4</c:v>
                </c:pt>
                <c:pt idx="69">
                  <c:v>-2.7</c:v>
                </c:pt>
                <c:pt idx="70">
                  <c:v>-2.4</c:v>
                </c:pt>
                <c:pt idx="71">
                  <c:v>-0.4</c:v>
                </c:pt>
                <c:pt idx="72">
                  <c:v>-0.9</c:v>
                </c:pt>
                <c:pt idx="73">
                  <c:v>-2.4</c:v>
                </c:pt>
                <c:pt idx="74">
                  <c:v>-2.4</c:v>
                </c:pt>
                <c:pt idx="75">
                  <c:v>-2.4</c:v>
                </c:pt>
                <c:pt idx="76">
                  <c:v>-2.2000000000000002</c:v>
                </c:pt>
                <c:pt idx="77">
                  <c:v>-2.5</c:v>
                </c:pt>
                <c:pt idx="78">
                  <c:v>-1.8</c:v>
                </c:pt>
                <c:pt idx="79">
                  <c:v>-2.4</c:v>
                </c:pt>
                <c:pt idx="80">
                  <c:v>-2.6</c:v>
                </c:pt>
                <c:pt idx="81">
                  <c:v>-0.4</c:v>
                </c:pt>
                <c:pt idx="82">
                  <c:v>-0.9</c:v>
                </c:pt>
                <c:pt idx="83">
                  <c:v>-2.2999999999999998</c:v>
                </c:pt>
                <c:pt idx="84">
                  <c:v>-2.2000000000000002</c:v>
                </c:pt>
                <c:pt idx="85">
                  <c:v>-2.4</c:v>
                </c:pt>
                <c:pt idx="86">
                  <c:v>-2.4</c:v>
                </c:pt>
                <c:pt idx="87">
                  <c:v>-2.4</c:v>
                </c:pt>
                <c:pt idx="88">
                  <c:v>-2.1</c:v>
                </c:pt>
                <c:pt idx="89">
                  <c:v>-2.6</c:v>
                </c:pt>
                <c:pt idx="90">
                  <c:v>-2.5</c:v>
                </c:pt>
                <c:pt idx="91">
                  <c:v>-3.4</c:v>
                </c:pt>
                <c:pt idx="92">
                  <c:v>-5.6</c:v>
                </c:pt>
                <c:pt idx="93">
                  <c:v>-2.7</c:v>
                </c:pt>
                <c:pt idx="94">
                  <c:v>-2.5</c:v>
                </c:pt>
                <c:pt idx="95">
                  <c:v>-2.5</c:v>
                </c:pt>
                <c:pt idx="96">
                  <c:v>-2.5</c:v>
                </c:pt>
                <c:pt idx="97">
                  <c:v>-3.9</c:v>
                </c:pt>
                <c:pt idx="98">
                  <c:v>-3.8</c:v>
                </c:pt>
                <c:pt idx="99">
                  <c:v>-2.8</c:v>
                </c:pt>
                <c:pt idx="100">
                  <c:v>-2.4</c:v>
                </c:pt>
                <c:pt idx="101">
                  <c:v>-2.4</c:v>
                </c:pt>
                <c:pt idx="102">
                  <c:v>-2.2000000000000002</c:v>
                </c:pt>
                <c:pt idx="103">
                  <c:v>-2.6</c:v>
                </c:pt>
                <c:pt idx="104">
                  <c:v>-2.4</c:v>
                </c:pt>
                <c:pt idx="105">
                  <c:v>-1.6</c:v>
                </c:pt>
                <c:pt idx="106">
                  <c:v>-1.5</c:v>
                </c:pt>
                <c:pt idx="107">
                  <c:v>-1.6</c:v>
                </c:pt>
                <c:pt idx="108">
                  <c:v>-2.4</c:v>
                </c:pt>
                <c:pt idx="109">
                  <c:v>-2.2999999999999998</c:v>
                </c:pt>
                <c:pt idx="110">
                  <c:v>-2.4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CF-4CE3-86D0-1D985FAE9944}"/>
            </c:ext>
          </c:extLst>
        </c:ser>
        <c:ser>
          <c:idx val="1"/>
          <c:order val="1"/>
          <c:tx>
            <c:strRef>
              <c:f>'Hailey''s Data'!$E$1:$E$2</c:f>
              <c:strCache>
                <c:ptCount val="2"/>
                <c:pt idx="0">
                  <c:v>-6.7</c:v>
                </c:pt>
                <c:pt idx="1">
                  <c:v>-2.2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strRef>
              <c:f>'Hailey''s Data'!$K$3:$K$1074</c:f>
              <c:strCache>
                <c:ptCount val="112"/>
                <c:pt idx="0">
                  <c:v>135.6</c:v>
                </c:pt>
                <c:pt idx="1">
                  <c:v>134.7</c:v>
                </c:pt>
                <c:pt idx="2">
                  <c:v>128.7</c:v>
                </c:pt>
                <c:pt idx="3">
                  <c:v>247.2</c:v>
                </c:pt>
                <c:pt idx="4">
                  <c:v>6085</c:v>
                </c:pt>
                <c:pt idx="5">
                  <c:v>119.9</c:v>
                </c:pt>
                <c:pt idx="6">
                  <c:v>74.5</c:v>
                </c:pt>
                <c:pt idx="7">
                  <c:v>91.4</c:v>
                </c:pt>
                <c:pt idx="8">
                  <c:v>126.8</c:v>
                </c:pt>
                <c:pt idx="9">
                  <c:v>122.4</c:v>
                </c:pt>
                <c:pt idx="10">
                  <c:v>150.8</c:v>
                </c:pt>
                <c:pt idx="11">
                  <c:v>172.4</c:v>
                </c:pt>
                <c:pt idx="12">
                  <c:v>140.3</c:v>
                </c:pt>
                <c:pt idx="13">
                  <c:v>140.8</c:v>
                </c:pt>
                <c:pt idx="14">
                  <c:v>209.4</c:v>
                </c:pt>
                <c:pt idx="15">
                  <c:v>1058</c:v>
                </c:pt>
                <c:pt idx="16">
                  <c:v>17408</c:v>
                </c:pt>
                <c:pt idx="17">
                  <c:v>156</c:v>
                </c:pt>
                <c:pt idx="18">
                  <c:v>128.3</c:v>
                </c:pt>
                <c:pt idx="19">
                  <c:v>112.2</c:v>
                </c:pt>
                <c:pt idx="20">
                  <c:v>135</c:v>
                </c:pt>
                <c:pt idx="21">
                  <c:v>128</c:v>
                </c:pt>
                <c:pt idx="22">
                  <c:v>178</c:v>
                </c:pt>
                <c:pt idx="23">
                  <c:v>170.4</c:v>
                </c:pt>
                <c:pt idx="24">
                  <c:v>109.3</c:v>
                </c:pt>
                <c:pt idx="25">
                  <c:v>173.4</c:v>
                </c:pt>
                <c:pt idx="26">
                  <c:v>214.2</c:v>
                </c:pt>
                <c:pt idx="27">
                  <c:v>649</c:v>
                </c:pt>
                <c:pt idx="28">
                  <c:v>18092</c:v>
                </c:pt>
                <c:pt idx="29">
                  <c:v>106</c:v>
                </c:pt>
                <c:pt idx="30">
                  <c:v>188</c:v>
                </c:pt>
                <c:pt idx="31">
                  <c:v>3130</c:v>
                </c:pt>
                <c:pt idx="32">
                  <c:v>164</c:v>
                </c:pt>
                <c:pt idx="33">
                  <c:v>174.2</c:v>
                </c:pt>
                <c:pt idx="34">
                  <c:v>106.6</c:v>
                </c:pt>
                <c:pt idx="35">
                  <c:v>162</c:v>
                </c:pt>
                <c:pt idx="36">
                  <c:v>59</c:v>
                </c:pt>
                <c:pt idx="37">
                  <c:v>76.1</c:v>
                </c:pt>
                <c:pt idx="38">
                  <c:v>48.2</c:v>
                </c:pt>
                <c:pt idx="39">
                  <c:v>57.5</c:v>
                </c:pt>
                <c:pt idx="40">
                  <c:v>55.7</c:v>
                </c:pt>
                <c:pt idx="41">
                  <c:v>45500</c:v>
                </c:pt>
                <c:pt idx="42">
                  <c:v>21570</c:v>
                </c:pt>
                <c:pt idx="43">
                  <c:v>271.6</c:v>
                </c:pt>
                <c:pt idx="44">
                  <c:v>43.7</c:v>
                </c:pt>
                <c:pt idx="45">
                  <c:v>75</c:v>
                </c:pt>
                <c:pt idx="46">
                  <c:v>157</c:v>
                </c:pt>
                <c:pt idx="47">
                  <c:v>145.8</c:v>
                </c:pt>
                <c:pt idx="48">
                  <c:v>108</c:v>
                </c:pt>
                <c:pt idx="49">
                  <c:v>85.6</c:v>
                </c:pt>
                <c:pt idx="50">
                  <c:v>83</c:v>
                </c:pt>
                <c:pt idx="51">
                  <c:v>44289</c:v>
                </c:pt>
                <c:pt idx="52">
                  <c:v>15600</c:v>
                </c:pt>
                <c:pt idx="53">
                  <c:v>225</c:v>
                </c:pt>
                <c:pt idx="54">
                  <c:v>190.2</c:v>
                </c:pt>
                <c:pt idx="55">
                  <c:v>160</c:v>
                </c:pt>
                <c:pt idx="56">
                  <c:v>171.3</c:v>
                </c:pt>
                <c:pt idx="57">
                  <c:v>174.8</c:v>
                </c:pt>
                <c:pt idx="58">
                  <c:v>183.1</c:v>
                </c:pt>
                <c:pt idx="59">
                  <c:v>103.4</c:v>
                </c:pt>
                <c:pt idx="60">
                  <c:v>153</c:v>
                </c:pt>
                <c:pt idx="61">
                  <c:v>39250</c:v>
                </c:pt>
                <c:pt idx="62">
                  <c:v>25700</c:v>
                </c:pt>
                <c:pt idx="63">
                  <c:v>281.2</c:v>
                </c:pt>
                <c:pt idx="64">
                  <c:v>192.1</c:v>
                </c:pt>
                <c:pt idx="65">
                  <c:v>157.2</c:v>
                </c:pt>
                <c:pt idx="66">
                  <c:v>97.5</c:v>
                </c:pt>
                <c:pt idx="67">
                  <c:v>164.7</c:v>
                </c:pt>
                <c:pt idx="68">
                  <c:v>105.2</c:v>
                </c:pt>
                <c:pt idx="69">
                  <c:v>98.5</c:v>
                </c:pt>
                <c:pt idx="70">
                  <c:v>75.9</c:v>
                </c:pt>
                <c:pt idx="71">
                  <c:v>40844</c:v>
                </c:pt>
                <c:pt idx="72">
                  <c:v>30255</c:v>
                </c:pt>
                <c:pt idx="73">
                  <c:v>314</c:v>
                </c:pt>
                <c:pt idx="74">
                  <c:v>155.6</c:v>
                </c:pt>
                <c:pt idx="75">
                  <c:v>171.3</c:v>
                </c:pt>
                <c:pt idx="76">
                  <c:v>80.1</c:v>
                </c:pt>
                <c:pt idx="77">
                  <c:v>147.5</c:v>
                </c:pt>
                <c:pt idx="78">
                  <c:v>69.3</c:v>
                </c:pt>
                <c:pt idx="79">
                  <c:v>173.4</c:v>
                </c:pt>
                <c:pt idx="80">
                  <c:v>60.6</c:v>
                </c:pt>
                <c:pt idx="81">
                  <c:v>45600</c:v>
                </c:pt>
                <c:pt idx="82">
                  <c:v>26500</c:v>
                </c:pt>
                <c:pt idx="83">
                  <c:v>249.8</c:v>
                </c:pt>
                <c:pt idx="84">
                  <c:v>159.7</c:v>
                </c:pt>
                <c:pt idx="85">
                  <c:v>187</c:v>
                </c:pt>
                <c:pt idx="86">
                  <c:v>184</c:v>
                </c:pt>
                <c:pt idx="87">
                  <c:v>101.4</c:v>
                </c:pt>
                <c:pt idx="88">
                  <c:v>185.5</c:v>
                </c:pt>
                <c:pt idx="89">
                  <c:v>147.5</c:v>
                </c:pt>
                <c:pt idx="90">
                  <c:v>170.2</c:v>
                </c:pt>
                <c:pt idx="91">
                  <c:v>4243</c:v>
                </c:pt>
                <c:pt idx="92">
                  <c:v>122.5</c:v>
                </c:pt>
                <c:pt idx="93">
                  <c:v>196.4</c:v>
                </c:pt>
                <c:pt idx="94">
                  <c:v>179.8</c:v>
                </c:pt>
                <c:pt idx="95">
                  <c:v>180.8</c:v>
                </c:pt>
                <c:pt idx="96">
                  <c:v>171.2</c:v>
                </c:pt>
                <c:pt idx="97">
                  <c:v>125.1</c:v>
                </c:pt>
                <c:pt idx="98">
                  <c:v>127.2</c:v>
                </c:pt>
                <c:pt idx="99">
                  <c:v>86.3</c:v>
                </c:pt>
                <c:pt idx="100">
                  <c:v>165.4</c:v>
                </c:pt>
                <c:pt idx="101">
                  <c:v>117.1</c:v>
                </c:pt>
                <c:pt idx="102">
                  <c:v>190.9</c:v>
                </c:pt>
                <c:pt idx="103">
                  <c:v>158.5</c:v>
                </c:pt>
                <c:pt idx="104">
                  <c:v>102.2</c:v>
                </c:pt>
                <c:pt idx="105">
                  <c:v>168.7</c:v>
                </c:pt>
                <c:pt idx="106">
                  <c:v>165.6</c:v>
                </c:pt>
                <c:pt idx="107">
                  <c:v>18609</c:v>
                </c:pt>
                <c:pt idx="108">
                  <c:v>461.8</c:v>
                </c:pt>
                <c:pt idx="109">
                  <c:v>134.2</c:v>
                </c:pt>
                <c:pt idx="110">
                  <c:v>130.9</c:v>
                </c:pt>
                <c:pt idx="111">
                  <c:v>SPC</c:v>
                </c:pt>
              </c:strCache>
            </c:strRef>
          </c:xVal>
          <c:yVal>
            <c:numRef>
              <c:f>'Hailey''s Data'!$E$3:$E$1074</c:f>
              <c:numCache>
                <c:formatCode>General</c:formatCode>
                <c:ptCount val="1072"/>
                <c:pt idx="0">
                  <c:v>-21.4</c:v>
                </c:pt>
                <c:pt idx="1">
                  <c:v>-20.6</c:v>
                </c:pt>
                <c:pt idx="2">
                  <c:v>-57.5</c:v>
                </c:pt>
                <c:pt idx="3">
                  <c:v>-58.3</c:v>
                </c:pt>
                <c:pt idx="4">
                  <c:v>-46.3</c:v>
                </c:pt>
                <c:pt idx="5">
                  <c:v>-26.9</c:v>
                </c:pt>
                <c:pt idx="6">
                  <c:v>-14.1</c:v>
                </c:pt>
                <c:pt idx="7">
                  <c:v>-7.6</c:v>
                </c:pt>
                <c:pt idx="8">
                  <c:v>-10.6</c:v>
                </c:pt>
                <c:pt idx="9">
                  <c:v>-10.3</c:v>
                </c:pt>
                <c:pt idx="10">
                  <c:v>-6.5</c:v>
                </c:pt>
                <c:pt idx="11">
                  <c:v>-5.7</c:v>
                </c:pt>
                <c:pt idx="12">
                  <c:v>-4.2</c:v>
                </c:pt>
                <c:pt idx="13">
                  <c:v>-4.0999999999999996</c:v>
                </c:pt>
                <c:pt idx="14">
                  <c:v>-4.4000000000000004</c:v>
                </c:pt>
                <c:pt idx="15">
                  <c:v>-4.2</c:v>
                </c:pt>
                <c:pt idx="16">
                  <c:v>-1.6</c:v>
                </c:pt>
                <c:pt idx="17">
                  <c:v>-6.4</c:v>
                </c:pt>
                <c:pt idx="18">
                  <c:v>-6.7</c:v>
                </c:pt>
                <c:pt idx="19">
                  <c:v>-10.3</c:v>
                </c:pt>
                <c:pt idx="20">
                  <c:v>-6.9</c:v>
                </c:pt>
                <c:pt idx="21">
                  <c:v>-6.9</c:v>
                </c:pt>
                <c:pt idx="22">
                  <c:v>-4.5999999999999996</c:v>
                </c:pt>
                <c:pt idx="23">
                  <c:v>-4.5</c:v>
                </c:pt>
                <c:pt idx="24">
                  <c:v>-3.8</c:v>
                </c:pt>
                <c:pt idx="25">
                  <c:v>-3.6</c:v>
                </c:pt>
                <c:pt idx="26">
                  <c:v>-4.5999999999999996</c:v>
                </c:pt>
                <c:pt idx="27">
                  <c:v>-4.7</c:v>
                </c:pt>
                <c:pt idx="28">
                  <c:v>-2</c:v>
                </c:pt>
                <c:pt idx="29">
                  <c:v>-5.4</c:v>
                </c:pt>
                <c:pt idx="30">
                  <c:v>-4.7</c:v>
                </c:pt>
                <c:pt idx="31">
                  <c:v>-4.4000000000000004</c:v>
                </c:pt>
                <c:pt idx="32">
                  <c:v>-4.5999999999999996</c:v>
                </c:pt>
                <c:pt idx="33">
                  <c:v>-4.5</c:v>
                </c:pt>
                <c:pt idx="34">
                  <c:v>-4.3</c:v>
                </c:pt>
                <c:pt idx="35">
                  <c:v>-4.0999999999999996</c:v>
                </c:pt>
                <c:pt idx="36">
                  <c:v>-0.2</c:v>
                </c:pt>
                <c:pt idx="37">
                  <c:v>-0.4</c:v>
                </c:pt>
                <c:pt idx="38">
                  <c:v>0.3</c:v>
                </c:pt>
                <c:pt idx="39">
                  <c:v>-4.3</c:v>
                </c:pt>
                <c:pt idx="40">
                  <c:v>-3.8</c:v>
                </c:pt>
                <c:pt idx="41">
                  <c:v>0.6</c:v>
                </c:pt>
                <c:pt idx="42">
                  <c:v>-1.9</c:v>
                </c:pt>
                <c:pt idx="43">
                  <c:v>-4.4000000000000004</c:v>
                </c:pt>
                <c:pt idx="44">
                  <c:v>-4.9000000000000004</c:v>
                </c:pt>
                <c:pt idx="45">
                  <c:v>-5.4</c:v>
                </c:pt>
                <c:pt idx="46">
                  <c:v>-4</c:v>
                </c:pt>
                <c:pt idx="47">
                  <c:v>-4.0999999999999996</c:v>
                </c:pt>
                <c:pt idx="48">
                  <c:v>-3.1</c:v>
                </c:pt>
                <c:pt idx="49">
                  <c:v>-4.2</c:v>
                </c:pt>
                <c:pt idx="50">
                  <c:v>-4.2</c:v>
                </c:pt>
                <c:pt idx="51">
                  <c:v>1.2</c:v>
                </c:pt>
                <c:pt idx="52">
                  <c:v>-2.6</c:v>
                </c:pt>
                <c:pt idx="53">
                  <c:v>-4.5999999999999996</c:v>
                </c:pt>
                <c:pt idx="54">
                  <c:v>-4.7</c:v>
                </c:pt>
                <c:pt idx="55">
                  <c:v>-5.3</c:v>
                </c:pt>
                <c:pt idx="56">
                  <c:v>-4.5999999999999996</c:v>
                </c:pt>
                <c:pt idx="57">
                  <c:v>-4.5999999999999996</c:v>
                </c:pt>
                <c:pt idx="58">
                  <c:v>-4.4000000000000004</c:v>
                </c:pt>
                <c:pt idx="59">
                  <c:v>-4.8</c:v>
                </c:pt>
                <c:pt idx="60">
                  <c:v>-4.0999999999999996</c:v>
                </c:pt>
                <c:pt idx="61">
                  <c:v>0.3</c:v>
                </c:pt>
                <c:pt idx="62">
                  <c:v>-2.1</c:v>
                </c:pt>
                <c:pt idx="63">
                  <c:v>-5.3</c:v>
                </c:pt>
                <c:pt idx="64">
                  <c:v>-6</c:v>
                </c:pt>
                <c:pt idx="65">
                  <c:v>-7.5</c:v>
                </c:pt>
                <c:pt idx="66">
                  <c:v>-5.0999999999999996</c:v>
                </c:pt>
                <c:pt idx="67">
                  <c:v>-5.3</c:v>
                </c:pt>
                <c:pt idx="68">
                  <c:v>-5.2</c:v>
                </c:pt>
                <c:pt idx="69">
                  <c:v>-6.6</c:v>
                </c:pt>
                <c:pt idx="70">
                  <c:v>-5.2</c:v>
                </c:pt>
                <c:pt idx="71">
                  <c:v>0.4</c:v>
                </c:pt>
                <c:pt idx="72">
                  <c:v>-1.2</c:v>
                </c:pt>
                <c:pt idx="73">
                  <c:v>-5.5</c:v>
                </c:pt>
                <c:pt idx="74">
                  <c:v>-6.2</c:v>
                </c:pt>
                <c:pt idx="75">
                  <c:v>-5.2</c:v>
                </c:pt>
                <c:pt idx="76">
                  <c:v>-5.5</c:v>
                </c:pt>
                <c:pt idx="77">
                  <c:v>-5.6</c:v>
                </c:pt>
                <c:pt idx="78">
                  <c:v>-2.8</c:v>
                </c:pt>
                <c:pt idx="79">
                  <c:v>-6</c:v>
                </c:pt>
                <c:pt idx="80">
                  <c:v>-6.1</c:v>
                </c:pt>
                <c:pt idx="81">
                  <c:v>0.9</c:v>
                </c:pt>
                <c:pt idx="82">
                  <c:v>-0.7</c:v>
                </c:pt>
                <c:pt idx="83">
                  <c:v>-4.2</c:v>
                </c:pt>
                <c:pt idx="84">
                  <c:v>-3.3</c:v>
                </c:pt>
                <c:pt idx="85">
                  <c:v>-4.5999999999999996</c:v>
                </c:pt>
                <c:pt idx="86">
                  <c:v>-5.2</c:v>
                </c:pt>
                <c:pt idx="87">
                  <c:v>-3.6</c:v>
                </c:pt>
                <c:pt idx="88">
                  <c:v>-3.2</c:v>
                </c:pt>
                <c:pt idx="89">
                  <c:v>-5.6</c:v>
                </c:pt>
                <c:pt idx="90">
                  <c:v>-5.0999999999999996</c:v>
                </c:pt>
                <c:pt idx="91">
                  <c:v>-14.6</c:v>
                </c:pt>
                <c:pt idx="92">
                  <c:v>-31.9</c:v>
                </c:pt>
                <c:pt idx="93">
                  <c:v>-6.7</c:v>
                </c:pt>
                <c:pt idx="94">
                  <c:v>-6.1</c:v>
                </c:pt>
                <c:pt idx="95">
                  <c:v>-5.4</c:v>
                </c:pt>
                <c:pt idx="96">
                  <c:v>-5.4</c:v>
                </c:pt>
                <c:pt idx="97">
                  <c:v>-18.899999999999999</c:v>
                </c:pt>
                <c:pt idx="98">
                  <c:v>-18.399999999999999</c:v>
                </c:pt>
                <c:pt idx="99">
                  <c:v>-6.6</c:v>
                </c:pt>
                <c:pt idx="100">
                  <c:v>-5.0999999999999996</c:v>
                </c:pt>
                <c:pt idx="101">
                  <c:v>-2.5</c:v>
                </c:pt>
                <c:pt idx="102">
                  <c:v>-3.7</c:v>
                </c:pt>
                <c:pt idx="103">
                  <c:v>-5.6</c:v>
                </c:pt>
                <c:pt idx="104">
                  <c:v>-4.8</c:v>
                </c:pt>
                <c:pt idx="105">
                  <c:v>1.3</c:v>
                </c:pt>
                <c:pt idx="106">
                  <c:v>2.1</c:v>
                </c:pt>
                <c:pt idx="107">
                  <c:v>-0.9</c:v>
                </c:pt>
                <c:pt idx="108">
                  <c:v>-3.2</c:v>
                </c:pt>
                <c:pt idx="109">
                  <c:v>-2.5</c:v>
                </c:pt>
                <c:pt idx="110">
                  <c:v>-3.1</c:v>
                </c:pt>
                <c:pt idx="1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CF-4CE3-86D0-1D985FAE9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760025"/>
        <c:axId val="347008244"/>
      </c:scatterChart>
      <c:valAx>
        <c:axId val="13797600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008244"/>
        <c:crosses val="autoZero"/>
        <c:crossBetween val="midCat"/>
      </c:valAx>
      <c:valAx>
        <c:axId val="347008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Isotope Concentration (per mil)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97600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l-GR" b="0">
                <a:solidFill>
                  <a:srgbClr val="757575"/>
                </a:solidFill>
                <a:latin typeface="+mn-lt"/>
              </a:rPr>
              <a:t>δ18</a:t>
            </a:r>
            <a:r>
              <a:rPr lang="en-US" b="0">
                <a:solidFill>
                  <a:srgbClr val="757575"/>
                </a:solidFill>
                <a:latin typeface="+mn-lt"/>
              </a:rPr>
              <a:t>O (‰), </a:t>
            </a:r>
            <a:r>
              <a:rPr lang="el-GR" b="0">
                <a:solidFill>
                  <a:srgbClr val="757575"/>
                </a:solidFill>
                <a:latin typeface="+mn-lt"/>
              </a:rPr>
              <a:t>δ2</a:t>
            </a:r>
            <a:r>
              <a:rPr lang="en-US" b="0">
                <a:solidFill>
                  <a:srgbClr val="757575"/>
                </a:solidFill>
                <a:latin typeface="+mn-lt"/>
              </a:rPr>
              <a:t>H (‰) and Temperature (C)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'Hailey''s Data'!$D$1:$D$2</c:f>
              <c:strCache>
                <c:ptCount val="2"/>
                <c:pt idx="0">
                  <c:v>-2.6</c:v>
                </c:pt>
                <c:pt idx="1">
                  <c:v>-1.9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strRef>
              <c:f>'Hailey''s Data'!$H$3:$H$1074</c:f>
              <c:strCache>
                <c:ptCount val="112"/>
                <c:pt idx="0">
                  <c:v>18.5</c:v>
                </c:pt>
                <c:pt idx="1">
                  <c:v>18.5</c:v>
                </c:pt>
                <c:pt idx="2">
                  <c:v>19.4</c:v>
                </c:pt>
                <c:pt idx="3">
                  <c:v>19.6</c:v>
                </c:pt>
                <c:pt idx="4">
                  <c:v>20.2</c:v>
                </c:pt>
                <c:pt idx="5">
                  <c:v>18.4</c:v>
                </c:pt>
                <c:pt idx="6">
                  <c:v>17.7</c:v>
                </c:pt>
                <c:pt idx="7">
                  <c:v>18.7</c:v>
                </c:pt>
                <c:pt idx="8">
                  <c:v>19.3</c:v>
                </c:pt>
                <c:pt idx="9">
                  <c:v>18.9</c:v>
                </c:pt>
                <c:pt idx="10">
                  <c:v>19.3</c:v>
                </c:pt>
                <c:pt idx="11">
                  <c:v>19.5</c:v>
                </c:pt>
                <c:pt idx="12">
                  <c:v>20.3</c:v>
                </c:pt>
                <c:pt idx="13">
                  <c:v>20.2</c:v>
                </c:pt>
                <c:pt idx="14">
                  <c:v>19</c:v>
                </c:pt>
                <c:pt idx="15">
                  <c:v>19.1</c:v>
                </c:pt>
                <c:pt idx="16">
                  <c:v>20.7</c:v>
                </c:pt>
                <c:pt idx="17">
                  <c:v>17.7</c:v>
                </c:pt>
                <c:pt idx="18">
                  <c:v>17.7</c:v>
                </c:pt>
                <c:pt idx="19">
                  <c:v>17.5</c:v>
                </c:pt>
                <c:pt idx="20">
                  <c:v>21.5</c:v>
                </c:pt>
                <c:pt idx="21">
                  <c:v>21.2</c:v>
                </c:pt>
                <c:pt idx="22">
                  <c:v>21.6</c:v>
                </c:pt>
                <c:pt idx="23">
                  <c:v>21.8</c:v>
                </c:pt>
                <c:pt idx="24">
                  <c:v>21.4</c:v>
                </c:pt>
                <c:pt idx="25">
                  <c:v>21.5</c:v>
                </c:pt>
                <c:pt idx="26">
                  <c:v>22.5</c:v>
                </c:pt>
                <c:pt idx="27">
                  <c:v>23.8</c:v>
                </c:pt>
                <c:pt idx="28">
                  <c:v>25</c:v>
                </c:pt>
                <c:pt idx="29">
                  <c:v>20.4</c:v>
                </c:pt>
                <c:pt idx="30">
                  <c:v>24.6</c:v>
                </c:pt>
                <c:pt idx="31">
                  <c:v>26.2</c:v>
                </c:pt>
                <c:pt idx="32">
                  <c:v>23.1</c:v>
                </c:pt>
                <c:pt idx="33">
                  <c:v>21.3</c:v>
                </c:pt>
                <c:pt idx="34">
                  <c:v>21.2</c:v>
                </c:pt>
                <c:pt idx="35">
                  <c:v>23.6</c:v>
                </c:pt>
                <c:pt idx="36">
                  <c:v>20.2</c:v>
                </c:pt>
                <c:pt idx="37">
                  <c:v>20.5</c:v>
                </c:pt>
                <c:pt idx="38">
                  <c:v>22.9</c:v>
                </c:pt>
                <c:pt idx="39">
                  <c:v>19.3</c:v>
                </c:pt>
                <c:pt idx="40">
                  <c:v>19.9</c:v>
                </c:pt>
                <c:pt idx="41">
                  <c:v>29.4</c:v>
                </c:pt>
                <c:pt idx="42">
                  <c:v>30</c:v>
                </c:pt>
                <c:pt idx="43">
                  <c:v>27.7</c:v>
                </c:pt>
                <c:pt idx="44">
                  <c:v>24.5</c:v>
                </c:pt>
                <c:pt idx="45">
                  <c:v>24.4</c:v>
                </c:pt>
                <c:pt idx="46">
                  <c:v>25.3</c:v>
                </c:pt>
                <c:pt idx="47">
                  <c:v>23.9</c:v>
                </c:pt>
                <c:pt idx="48">
                  <c:v>23.4</c:v>
                </c:pt>
                <c:pt idx="49">
                  <c:v>21.1</c:v>
                </c:pt>
                <c:pt idx="50">
                  <c:v>20.5</c:v>
                </c:pt>
                <c:pt idx="51">
                  <c:v>26.9</c:v>
                </c:pt>
                <c:pt idx="52">
                  <c:v>27</c:v>
                </c:pt>
                <c:pt idx="53">
                  <c:v>26</c:v>
                </c:pt>
                <c:pt idx="54">
                  <c:v>23.7</c:v>
                </c:pt>
                <c:pt idx="55">
                  <c:v>22</c:v>
                </c:pt>
                <c:pt idx="56">
                  <c:v>22.7</c:v>
                </c:pt>
                <c:pt idx="57">
                  <c:v>23.1</c:v>
                </c:pt>
                <c:pt idx="58">
                  <c:v>23.1</c:v>
                </c:pt>
                <c:pt idx="59">
                  <c:v>21.7</c:v>
                </c:pt>
                <c:pt idx="60">
                  <c:v>22.3</c:v>
                </c:pt>
                <c:pt idx="61">
                  <c:v>29.4</c:v>
                </c:pt>
                <c:pt idx="62">
                  <c:v>30.2</c:v>
                </c:pt>
                <c:pt idx="63">
                  <c:v>28.1</c:v>
                </c:pt>
                <c:pt idx="64">
                  <c:v>24.7</c:v>
                </c:pt>
                <c:pt idx="65">
                  <c:v>23.1</c:v>
                </c:pt>
                <c:pt idx="66">
                  <c:v>24.2</c:v>
                </c:pt>
                <c:pt idx="67">
                  <c:v>26.6</c:v>
                </c:pt>
                <c:pt idx="68">
                  <c:v>24.3</c:v>
                </c:pt>
                <c:pt idx="69">
                  <c:v>22.6</c:v>
                </c:pt>
                <c:pt idx="70">
                  <c:v>23.3</c:v>
                </c:pt>
                <c:pt idx="71">
                  <c:v>30.2</c:v>
                </c:pt>
                <c:pt idx="72">
                  <c:v>32.4</c:v>
                </c:pt>
                <c:pt idx="73">
                  <c:v>28.3</c:v>
                </c:pt>
                <c:pt idx="74">
                  <c:v>25.8</c:v>
                </c:pt>
                <c:pt idx="75">
                  <c:v>24</c:v>
                </c:pt>
                <c:pt idx="76">
                  <c:v>25.7</c:v>
                </c:pt>
                <c:pt idx="77">
                  <c:v>24.2</c:v>
                </c:pt>
                <c:pt idx="78">
                  <c:v>24.3</c:v>
                </c:pt>
                <c:pt idx="79">
                  <c:v>25.9</c:v>
                </c:pt>
                <c:pt idx="80">
                  <c:v>22.3</c:v>
                </c:pt>
                <c:pt idx="81">
                  <c:v>27.7</c:v>
                </c:pt>
                <c:pt idx="82">
                  <c:v>27.6</c:v>
                </c:pt>
                <c:pt idx="83">
                  <c:v>26.4</c:v>
                </c:pt>
                <c:pt idx="84">
                  <c:v>26.3</c:v>
                </c:pt>
                <c:pt idx="85">
                  <c:v>23.5</c:v>
                </c:pt>
                <c:pt idx="86">
                  <c:v>24.2</c:v>
                </c:pt>
                <c:pt idx="87">
                  <c:v>22.5</c:v>
                </c:pt>
                <c:pt idx="88">
                  <c:v>23.5</c:v>
                </c:pt>
                <c:pt idx="89">
                  <c:v>23.2</c:v>
                </c:pt>
                <c:pt idx="90">
                  <c:v>24.6</c:v>
                </c:pt>
                <c:pt idx="91">
                  <c:v>23</c:v>
                </c:pt>
                <c:pt idx="92">
                  <c:v>22.9</c:v>
                </c:pt>
                <c:pt idx="93">
                  <c:v>22.7</c:v>
                </c:pt>
                <c:pt idx="94">
                  <c:v>22.7</c:v>
                </c:pt>
                <c:pt idx="95">
                  <c:v>22.8</c:v>
                </c:pt>
                <c:pt idx="96">
                  <c:v>22.9</c:v>
                </c:pt>
                <c:pt idx="97">
                  <c:v>20.9</c:v>
                </c:pt>
                <c:pt idx="98">
                  <c:v>20.9</c:v>
                </c:pt>
                <c:pt idx="99">
                  <c:v>20.9</c:v>
                </c:pt>
                <c:pt idx="100">
                  <c:v>22.5</c:v>
                </c:pt>
                <c:pt idx="101">
                  <c:v>19.5</c:v>
                </c:pt>
                <c:pt idx="102">
                  <c:v>22.8</c:v>
                </c:pt>
                <c:pt idx="103">
                  <c:v>22.5</c:v>
                </c:pt>
                <c:pt idx="104">
                  <c:v>23.6</c:v>
                </c:pt>
                <c:pt idx="105">
                  <c:v>21</c:v>
                </c:pt>
                <c:pt idx="106">
                  <c:v>21.2</c:v>
                </c:pt>
                <c:pt idx="107">
                  <c:v>26.2</c:v>
                </c:pt>
                <c:pt idx="108">
                  <c:v>24.4</c:v>
                </c:pt>
                <c:pt idx="109">
                  <c:v>23.8</c:v>
                </c:pt>
                <c:pt idx="110">
                  <c:v>23.8</c:v>
                </c:pt>
                <c:pt idx="111">
                  <c:v>Temperature (C)</c:v>
                </c:pt>
              </c:strCache>
            </c:strRef>
          </c:xVal>
          <c:yVal>
            <c:numRef>
              <c:f>'Hailey''s Data'!$D$3:$D$1074</c:f>
              <c:numCache>
                <c:formatCode>General</c:formatCode>
                <c:ptCount val="1072"/>
                <c:pt idx="0">
                  <c:v>-4</c:v>
                </c:pt>
                <c:pt idx="1">
                  <c:v>-3.9</c:v>
                </c:pt>
                <c:pt idx="2">
                  <c:v>-8.3000000000000007</c:v>
                </c:pt>
                <c:pt idx="3">
                  <c:v>-8.4</c:v>
                </c:pt>
                <c:pt idx="4">
                  <c:v>-6.8</c:v>
                </c:pt>
                <c:pt idx="5">
                  <c:v>-5</c:v>
                </c:pt>
                <c:pt idx="6">
                  <c:v>-3.7</c:v>
                </c:pt>
                <c:pt idx="7">
                  <c:v>-2.6</c:v>
                </c:pt>
                <c:pt idx="8">
                  <c:v>-3.1</c:v>
                </c:pt>
                <c:pt idx="9">
                  <c:v>-3.1</c:v>
                </c:pt>
                <c:pt idx="10">
                  <c:v>-2.5</c:v>
                </c:pt>
                <c:pt idx="11">
                  <c:v>-2.4</c:v>
                </c:pt>
                <c:pt idx="12">
                  <c:v>-2.1</c:v>
                </c:pt>
                <c:pt idx="13">
                  <c:v>-2.1</c:v>
                </c:pt>
                <c:pt idx="14">
                  <c:v>-2.1</c:v>
                </c:pt>
                <c:pt idx="15">
                  <c:v>-2.1</c:v>
                </c:pt>
                <c:pt idx="16">
                  <c:v>-1.3</c:v>
                </c:pt>
                <c:pt idx="17">
                  <c:v>-2.8</c:v>
                </c:pt>
                <c:pt idx="18">
                  <c:v>-2.9</c:v>
                </c:pt>
                <c:pt idx="19">
                  <c:v>-3.1</c:v>
                </c:pt>
                <c:pt idx="20">
                  <c:v>-2.7</c:v>
                </c:pt>
                <c:pt idx="21">
                  <c:v>-2.7</c:v>
                </c:pt>
                <c:pt idx="22">
                  <c:v>-2.2999999999999998</c:v>
                </c:pt>
                <c:pt idx="23">
                  <c:v>-2.2999999999999998</c:v>
                </c:pt>
                <c:pt idx="24">
                  <c:v>-2.1</c:v>
                </c:pt>
                <c:pt idx="25">
                  <c:v>-2.1</c:v>
                </c:pt>
                <c:pt idx="26">
                  <c:v>-2.2000000000000002</c:v>
                </c:pt>
                <c:pt idx="27">
                  <c:v>-2.2000000000000002</c:v>
                </c:pt>
                <c:pt idx="28">
                  <c:v>-1.4</c:v>
                </c:pt>
                <c:pt idx="29">
                  <c:v>-2.6</c:v>
                </c:pt>
                <c:pt idx="30">
                  <c:v>-2.4</c:v>
                </c:pt>
                <c:pt idx="31">
                  <c:v>-2.4</c:v>
                </c:pt>
                <c:pt idx="32">
                  <c:v>-2.4</c:v>
                </c:pt>
                <c:pt idx="33">
                  <c:v>-2.1</c:v>
                </c:pt>
                <c:pt idx="34">
                  <c:v>-2.2999999999999998</c:v>
                </c:pt>
                <c:pt idx="35">
                  <c:v>-2.4</c:v>
                </c:pt>
                <c:pt idx="36">
                  <c:v>-2.6</c:v>
                </c:pt>
                <c:pt idx="37">
                  <c:v>-2.4</c:v>
                </c:pt>
                <c:pt idx="38">
                  <c:v>-2.2999999999999998</c:v>
                </c:pt>
                <c:pt idx="39">
                  <c:v>-3</c:v>
                </c:pt>
                <c:pt idx="40">
                  <c:v>-2.6</c:v>
                </c:pt>
                <c:pt idx="41">
                  <c:v>-0.5</c:v>
                </c:pt>
                <c:pt idx="42">
                  <c:v>-1.3</c:v>
                </c:pt>
                <c:pt idx="43">
                  <c:v>-2.2999999999999998</c:v>
                </c:pt>
                <c:pt idx="44">
                  <c:v>-2.4</c:v>
                </c:pt>
                <c:pt idx="45">
                  <c:v>-2.4</c:v>
                </c:pt>
                <c:pt idx="46">
                  <c:v>-2.2999999999999998</c:v>
                </c:pt>
                <c:pt idx="47">
                  <c:v>-2.2999999999999998</c:v>
                </c:pt>
                <c:pt idx="48">
                  <c:v>-2.1</c:v>
                </c:pt>
                <c:pt idx="49">
                  <c:v>-2.5</c:v>
                </c:pt>
                <c:pt idx="50">
                  <c:v>-2.5</c:v>
                </c:pt>
                <c:pt idx="51">
                  <c:v>-0.3</c:v>
                </c:pt>
                <c:pt idx="52">
                  <c:v>-1.6</c:v>
                </c:pt>
                <c:pt idx="53">
                  <c:v>-2.2999999999999998</c:v>
                </c:pt>
                <c:pt idx="54">
                  <c:v>-2.2999999999999998</c:v>
                </c:pt>
                <c:pt idx="55">
                  <c:v>-2.6</c:v>
                </c:pt>
                <c:pt idx="56">
                  <c:v>-2.4</c:v>
                </c:pt>
                <c:pt idx="57">
                  <c:v>-2.4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-2.2999999999999998</c:v>
                </c:pt>
                <c:pt idx="61">
                  <c:v>-0.3</c:v>
                </c:pt>
                <c:pt idx="62">
                  <c:v>-1.2</c:v>
                </c:pt>
                <c:pt idx="63">
                  <c:v>-2.2999999999999998</c:v>
                </c:pt>
                <c:pt idx="64">
                  <c:v>-2.5</c:v>
                </c:pt>
                <c:pt idx="65">
                  <c:v>-2.8</c:v>
                </c:pt>
                <c:pt idx="66">
                  <c:v>-2.4</c:v>
                </c:pt>
                <c:pt idx="67">
                  <c:v>-2.4</c:v>
                </c:pt>
                <c:pt idx="68">
                  <c:v>-2.4</c:v>
                </c:pt>
                <c:pt idx="69">
                  <c:v>-2.7</c:v>
                </c:pt>
                <c:pt idx="70">
                  <c:v>-2.4</c:v>
                </c:pt>
                <c:pt idx="71">
                  <c:v>-0.4</c:v>
                </c:pt>
                <c:pt idx="72">
                  <c:v>-0.9</c:v>
                </c:pt>
                <c:pt idx="73">
                  <c:v>-2.4</c:v>
                </c:pt>
                <c:pt idx="74">
                  <c:v>-2.4</c:v>
                </c:pt>
                <c:pt idx="75">
                  <c:v>-2.4</c:v>
                </c:pt>
                <c:pt idx="76">
                  <c:v>-2.2000000000000002</c:v>
                </c:pt>
                <c:pt idx="77">
                  <c:v>-2.5</c:v>
                </c:pt>
                <c:pt idx="78">
                  <c:v>-1.8</c:v>
                </c:pt>
                <c:pt idx="79">
                  <c:v>-2.4</c:v>
                </c:pt>
                <c:pt idx="80">
                  <c:v>-2.6</c:v>
                </c:pt>
                <c:pt idx="81">
                  <c:v>-0.4</c:v>
                </c:pt>
                <c:pt idx="82">
                  <c:v>-0.9</c:v>
                </c:pt>
                <c:pt idx="83">
                  <c:v>-2.2999999999999998</c:v>
                </c:pt>
                <c:pt idx="84">
                  <c:v>-2.2000000000000002</c:v>
                </c:pt>
                <c:pt idx="85">
                  <c:v>-2.4</c:v>
                </c:pt>
                <c:pt idx="86">
                  <c:v>-2.4</c:v>
                </c:pt>
                <c:pt idx="87">
                  <c:v>-2.4</c:v>
                </c:pt>
                <c:pt idx="88">
                  <c:v>-2.1</c:v>
                </c:pt>
                <c:pt idx="89">
                  <c:v>-2.6</c:v>
                </c:pt>
                <c:pt idx="90">
                  <c:v>-2.5</c:v>
                </c:pt>
                <c:pt idx="91">
                  <c:v>-3.4</c:v>
                </c:pt>
                <c:pt idx="92">
                  <c:v>-5.6</c:v>
                </c:pt>
                <c:pt idx="93">
                  <c:v>-2.7</c:v>
                </c:pt>
                <c:pt idx="94">
                  <c:v>-2.5</c:v>
                </c:pt>
                <c:pt idx="95">
                  <c:v>-2.5</c:v>
                </c:pt>
                <c:pt idx="96">
                  <c:v>-2.5</c:v>
                </c:pt>
                <c:pt idx="97">
                  <c:v>-3.9</c:v>
                </c:pt>
                <c:pt idx="98">
                  <c:v>-3.8</c:v>
                </c:pt>
                <c:pt idx="99">
                  <c:v>-2.8</c:v>
                </c:pt>
                <c:pt idx="100">
                  <c:v>-2.4</c:v>
                </c:pt>
                <c:pt idx="101">
                  <c:v>-2.4</c:v>
                </c:pt>
                <c:pt idx="102">
                  <c:v>-2.2000000000000002</c:v>
                </c:pt>
                <c:pt idx="103">
                  <c:v>-2.6</c:v>
                </c:pt>
                <c:pt idx="104">
                  <c:v>-2.4</c:v>
                </c:pt>
                <c:pt idx="105">
                  <c:v>-1.6</c:v>
                </c:pt>
                <c:pt idx="106">
                  <c:v>-1.5</c:v>
                </c:pt>
                <c:pt idx="107">
                  <c:v>-1.6</c:v>
                </c:pt>
                <c:pt idx="108">
                  <c:v>-2.4</c:v>
                </c:pt>
                <c:pt idx="109">
                  <c:v>-2.2999999999999998</c:v>
                </c:pt>
                <c:pt idx="110">
                  <c:v>-2.4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92-4BF3-98CE-894AAEEEBC72}"/>
            </c:ext>
          </c:extLst>
        </c:ser>
        <c:ser>
          <c:idx val="1"/>
          <c:order val="1"/>
          <c:tx>
            <c:strRef>
              <c:f>'Hailey''s Data'!$E$1:$E$2</c:f>
              <c:strCache>
                <c:ptCount val="2"/>
                <c:pt idx="0">
                  <c:v>-6.7</c:v>
                </c:pt>
                <c:pt idx="1">
                  <c:v>-2.2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strRef>
              <c:f>'Hailey''s Data'!$H$3:$H$1074</c:f>
              <c:strCache>
                <c:ptCount val="112"/>
                <c:pt idx="0">
                  <c:v>18.5</c:v>
                </c:pt>
                <c:pt idx="1">
                  <c:v>18.5</c:v>
                </c:pt>
                <c:pt idx="2">
                  <c:v>19.4</c:v>
                </c:pt>
                <c:pt idx="3">
                  <c:v>19.6</c:v>
                </c:pt>
                <c:pt idx="4">
                  <c:v>20.2</c:v>
                </c:pt>
                <c:pt idx="5">
                  <c:v>18.4</c:v>
                </c:pt>
                <c:pt idx="6">
                  <c:v>17.7</c:v>
                </c:pt>
                <c:pt idx="7">
                  <c:v>18.7</c:v>
                </c:pt>
                <c:pt idx="8">
                  <c:v>19.3</c:v>
                </c:pt>
                <c:pt idx="9">
                  <c:v>18.9</c:v>
                </c:pt>
                <c:pt idx="10">
                  <c:v>19.3</c:v>
                </c:pt>
                <c:pt idx="11">
                  <c:v>19.5</c:v>
                </c:pt>
                <c:pt idx="12">
                  <c:v>20.3</c:v>
                </c:pt>
                <c:pt idx="13">
                  <c:v>20.2</c:v>
                </c:pt>
                <c:pt idx="14">
                  <c:v>19</c:v>
                </c:pt>
                <c:pt idx="15">
                  <c:v>19.1</c:v>
                </c:pt>
                <c:pt idx="16">
                  <c:v>20.7</c:v>
                </c:pt>
                <c:pt idx="17">
                  <c:v>17.7</c:v>
                </c:pt>
                <c:pt idx="18">
                  <c:v>17.7</c:v>
                </c:pt>
                <c:pt idx="19">
                  <c:v>17.5</c:v>
                </c:pt>
                <c:pt idx="20">
                  <c:v>21.5</c:v>
                </c:pt>
                <c:pt idx="21">
                  <c:v>21.2</c:v>
                </c:pt>
                <c:pt idx="22">
                  <c:v>21.6</c:v>
                </c:pt>
                <c:pt idx="23">
                  <c:v>21.8</c:v>
                </c:pt>
                <c:pt idx="24">
                  <c:v>21.4</c:v>
                </c:pt>
                <c:pt idx="25">
                  <c:v>21.5</c:v>
                </c:pt>
                <c:pt idx="26">
                  <c:v>22.5</c:v>
                </c:pt>
                <c:pt idx="27">
                  <c:v>23.8</c:v>
                </c:pt>
                <c:pt idx="28">
                  <c:v>25</c:v>
                </c:pt>
                <c:pt idx="29">
                  <c:v>20.4</c:v>
                </c:pt>
                <c:pt idx="30">
                  <c:v>24.6</c:v>
                </c:pt>
                <c:pt idx="31">
                  <c:v>26.2</c:v>
                </c:pt>
                <c:pt idx="32">
                  <c:v>23.1</c:v>
                </c:pt>
                <c:pt idx="33">
                  <c:v>21.3</c:v>
                </c:pt>
                <c:pt idx="34">
                  <c:v>21.2</c:v>
                </c:pt>
                <c:pt idx="35">
                  <c:v>23.6</c:v>
                </c:pt>
                <c:pt idx="36">
                  <c:v>20.2</c:v>
                </c:pt>
                <c:pt idx="37">
                  <c:v>20.5</c:v>
                </c:pt>
                <c:pt idx="38">
                  <c:v>22.9</c:v>
                </c:pt>
                <c:pt idx="39">
                  <c:v>19.3</c:v>
                </c:pt>
                <c:pt idx="40">
                  <c:v>19.9</c:v>
                </c:pt>
                <c:pt idx="41">
                  <c:v>29.4</c:v>
                </c:pt>
                <c:pt idx="42">
                  <c:v>30</c:v>
                </c:pt>
                <c:pt idx="43">
                  <c:v>27.7</c:v>
                </c:pt>
                <c:pt idx="44">
                  <c:v>24.5</c:v>
                </c:pt>
                <c:pt idx="45">
                  <c:v>24.4</c:v>
                </c:pt>
                <c:pt idx="46">
                  <c:v>25.3</c:v>
                </c:pt>
                <c:pt idx="47">
                  <c:v>23.9</c:v>
                </c:pt>
                <c:pt idx="48">
                  <c:v>23.4</c:v>
                </c:pt>
                <c:pt idx="49">
                  <c:v>21.1</c:v>
                </c:pt>
                <c:pt idx="50">
                  <c:v>20.5</c:v>
                </c:pt>
                <c:pt idx="51">
                  <c:v>26.9</c:v>
                </c:pt>
                <c:pt idx="52">
                  <c:v>27</c:v>
                </c:pt>
                <c:pt idx="53">
                  <c:v>26</c:v>
                </c:pt>
                <c:pt idx="54">
                  <c:v>23.7</c:v>
                </c:pt>
                <c:pt idx="55">
                  <c:v>22</c:v>
                </c:pt>
                <c:pt idx="56">
                  <c:v>22.7</c:v>
                </c:pt>
                <c:pt idx="57">
                  <c:v>23.1</c:v>
                </c:pt>
                <c:pt idx="58">
                  <c:v>23.1</c:v>
                </c:pt>
                <c:pt idx="59">
                  <c:v>21.7</c:v>
                </c:pt>
                <c:pt idx="60">
                  <c:v>22.3</c:v>
                </c:pt>
                <c:pt idx="61">
                  <c:v>29.4</c:v>
                </c:pt>
                <c:pt idx="62">
                  <c:v>30.2</c:v>
                </c:pt>
                <c:pt idx="63">
                  <c:v>28.1</c:v>
                </c:pt>
                <c:pt idx="64">
                  <c:v>24.7</c:v>
                </c:pt>
                <c:pt idx="65">
                  <c:v>23.1</c:v>
                </c:pt>
                <c:pt idx="66">
                  <c:v>24.2</c:v>
                </c:pt>
                <c:pt idx="67">
                  <c:v>26.6</c:v>
                </c:pt>
                <c:pt idx="68">
                  <c:v>24.3</c:v>
                </c:pt>
                <c:pt idx="69">
                  <c:v>22.6</c:v>
                </c:pt>
                <c:pt idx="70">
                  <c:v>23.3</c:v>
                </c:pt>
                <c:pt idx="71">
                  <c:v>30.2</c:v>
                </c:pt>
                <c:pt idx="72">
                  <c:v>32.4</c:v>
                </c:pt>
                <c:pt idx="73">
                  <c:v>28.3</c:v>
                </c:pt>
                <c:pt idx="74">
                  <c:v>25.8</c:v>
                </c:pt>
                <c:pt idx="75">
                  <c:v>24</c:v>
                </c:pt>
                <c:pt idx="76">
                  <c:v>25.7</c:v>
                </c:pt>
                <c:pt idx="77">
                  <c:v>24.2</c:v>
                </c:pt>
                <c:pt idx="78">
                  <c:v>24.3</c:v>
                </c:pt>
                <c:pt idx="79">
                  <c:v>25.9</c:v>
                </c:pt>
                <c:pt idx="80">
                  <c:v>22.3</c:v>
                </c:pt>
                <c:pt idx="81">
                  <c:v>27.7</c:v>
                </c:pt>
                <c:pt idx="82">
                  <c:v>27.6</c:v>
                </c:pt>
                <c:pt idx="83">
                  <c:v>26.4</c:v>
                </c:pt>
                <c:pt idx="84">
                  <c:v>26.3</c:v>
                </c:pt>
                <c:pt idx="85">
                  <c:v>23.5</c:v>
                </c:pt>
                <c:pt idx="86">
                  <c:v>24.2</c:v>
                </c:pt>
                <c:pt idx="87">
                  <c:v>22.5</c:v>
                </c:pt>
                <c:pt idx="88">
                  <c:v>23.5</c:v>
                </c:pt>
                <c:pt idx="89">
                  <c:v>23.2</c:v>
                </c:pt>
                <c:pt idx="90">
                  <c:v>24.6</c:v>
                </c:pt>
                <c:pt idx="91">
                  <c:v>23</c:v>
                </c:pt>
                <c:pt idx="92">
                  <c:v>22.9</c:v>
                </c:pt>
                <c:pt idx="93">
                  <c:v>22.7</c:v>
                </c:pt>
                <c:pt idx="94">
                  <c:v>22.7</c:v>
                </c:pt>
                <c:pt idx="95">
                  <c:v>22.8</c:v>
                </c:pt>
                <c:pt idx="96">
                  <c:v>22.9</c:v>
                </c:pt>
                <c:pt idx="97">
                  <c:v>20.9</c:v>
                </c:pt>
                <c:pt idx="98">
                  <c:v>20.9</c:v>
                </c:pt>
                <c:pt idx="99">
                  <c:v>20.9</c:v>
                </c:pt>
                <c:pt idx="100">
                  <c:v>22.5</c:v>
                </c:pt>
                <c:pt idx="101">
                  <c:v>19.5</c:v>
                </c:pt>
                <c:pt idx="102">
                  <c:v>22.8</c:v>
                </c:pt>
                <c:pt idx="103">
                  <c:v>22.5</c:v>
                </c:pt>
                <c:pt idx="104">
                  <c:v>23.6</c:v>
                </c:pt>
                <c:pt idx="105">
                  <c:v>21</c:v>
                </c:pt>
                <c:pt idx="106">
                  <c:v>21.2</c:v>
                </c:pt>
                <c:pt idx="107">
                  <c:v>26.2</c:v>
                </c:pt>
                <c:pt idx="108">
                  <c:v>24.4</c:v>
                </c:pt>
                <c:pt idx="109">
                  <c:v>23.8</c:v>
                </c:pt>
                <c:pt idx="110">
                  <c:v>23.8</c:v>
                </c:pt>
                <c:pt idx="111">
                  <c:v>Temperature (C)</c:v>
                </c:pt>
              </c:strCache>
            </c:strRef>
          </c:xVal>
          <c:yVal>
            <c:numRef>
              <c:f>'Hailey''s Data'!$E$3:$E$1074</c:f>
              <c:numCache>
                <c:formatCode>General</c:formatCode>
                <c:ptCount val="1072"/>
                <c:pt idx="0">
                  <c:v>-21.4</c:v>
                </c:pt>
                <c:pt idx="1">
                  <c:v>-20.6</c:v>
                </c:pt>
                <c:pt idx="2">
                  <c:v>-57.5</c:v>
                </c:pt>
                <c:pt idx="3">
                  <c:v>-58.3</c:v>
                </c:pt>
                <c:pt idx="4">
                  <c:v>-46.3</c:v>
                </c:pt>
                <c:pt idx="5">
                  <c:v>-26.9</c:v>
                </c:pt>
                <c:pt idx="6">
                  <c:v>-14.1</c:v>
                </c:pt>
                <c:pt idx="7">
                  <c:v>-7.6</c:v>
                </c:pt>
                <c:pt idx="8">
                  <c:v>-10.6</c:v>
                </c:pt>
                <c:pt idx="9">
                  <c:v>-10.3</c:v>
                </c:pt>
                <c:pt idx="10">
                  <c:v>-6.5</c:v>
                </c:pt>
                <c:pt idx="11">
                  <c:v>-5.7</c:v>
                </c:pt>
                <c:pt idx="12">
                  <c:v>-4.2</c:v>
                </c:pt>
                <c:pt idx="13">
                  <c:v>-4.0999999999999996</c:v>
                </c:pt>
                <c:pt idx="14">
                  <c:v>-4.4000000000000004</c:v>
                </c:pt>
                <c:pt idx="15">
                  <c:v>-4.2</c:v>
                </c:pt>
                <c:pt idx="16">
                  <c:v>-1.6</c:v>
                </c:pt>
                <c:pt idx="17">
                  <c:v>-6.4</c:v>
                </c:pt>
                <c:pt idx="18">
                  <c:v>-6.7</c:v>
                </c:pt>
                <c:pt idx="19">
                  <c:v>-10.3</c:v>
                </c:pt>
                <c:pt idx="20">
                  <c:v>-6.9</c:v>
                </c:pt>
                <c:pt idx="21">
                  <c:v>-6.9</c:v>
                </c:pt>
                <c:pt idx="22">
                  <c:v>-4.5999999999999996</c:v>
                </c:pt>
                <c:pt idx="23">
                  <c:v>-4.5</c:v>
                </c:pt>
                <c:pt idx="24">
                  <c:v>-3.8</c:v>
                </c:pt>
                <c:pt idx="25">
                  <c:v>-3.6</c:v>
                </c:pt>
                <c:pt idx="26">
                  <c:v>-4.5999999999999996</c:v>
                </c:pt>
                <c:pt idx="27">
                  <c:v>-4.7</c:v>
                </c:pt>
                <c:pt idx="28">
                  <c:v>-2</c:v>
                </c:pt>
                <c:pt idx="29">
                  <c:v>-5.4</c:v>
                </c:pt>
                <c:pt idx="30">
                  <c:v>-4.7</c:v>
                </c:pt>
                <c:pt idx="31">
                  <c:v>-4.4000000000000004</c:v>
                </c:pt>
                <c:pt idx="32">
                  <c:v>-4.5999999999999996</c:v>
                </c:pt>
                <c:pt idx="33">
                  <c:v>-4.5</c:v>
                </c:pt>
                <c:pt idx="34">
                  <c:v>-4.3</c:v>
                </c:pt>
                <c:pt idx="35">
                  <c:v>-4.0999999999999996</c:v>
                </c:pt>
                <c:pt idx="36">
                  <c:v>-0.2</c:v>
                </c:pt>
                <c:pt idx="37">
                  <c:v>-0.4</c:v>
                </c:pt>
                <c:pt idx="38">
                  <c:v>0.3</c:v>
                </c:pt>
                <c:pt idx="39">
                  <c:v>-4.3</c:v>
                </c:pt>
                <c:pt idx="40">
                  <c:v>-3.8</c:v>
                </c:pt>
                <c:pt idx="41">
                  <c:v>0.6</c:v>
                </c:pt>
                <c:pt idx="42">
                  <c:v>-1.9</c:v>
                </c:pt>
                <c:pt idx="43">
                  <c:v>-4.4000000000000004</c:v>
                </c:pt>
                <c:pt idx="44">
                  <c:v>-4.9000000000000004</c:v>
                </c:pt>
                <c:pt idx="45">
                  <c:v>-5.4</c:v>
                </c:pt>
                <c:pt idx="46">
                  <c:v>-4</c:v>
                </c:pt>
                <c:pt idx="47">
                  <c:v>-4.0999999999999996</c:v>
                </c:pt>
                <c:pt idx="48">
                  <c:v>-3.1</c:v>
                </c:pt>
                <c:pt idx="49">
                  <c:v>-4.2</c:v>
                </c:pt>
                <c:pt idx="50">
                  <c:v>-4.2</c:v>
                </c:pt>
                <c:pt idx="51">
                  <c:v>1.2</c:v>
                </c:pt>
                <c:pt idx="52">
                  <c:v>-2.6</c:v>
                </c:pt>
                <c:pt idx="53">
                  <c:v>-4.5999999999999996</c:v>
                </c:pt>
                <c:pt idx="54">
                  <c:v>-4.7</c:v>
                </c:pt>
                <c:pt idx="55">
                  <c:v>-5.3</c:v>
                </c:pt>
                <c:pt idx="56">
                  <c:v>-4.5999999999999996</c:v>
                </c:pt>
                <c:pt idx="57">
                  <c:v>-4.5999999999999996</c:v>
                </c:pt>
                <c:pt idx="58">
                  <c:v>-4.4000000000000004</c:v>
                </c:pt>
                <c:pt idx="59">
                  <c:v>-4.8</c:v>
                </c:pt>
                <c:pt idx="60">
                  <c:v>-4.0999999999999996</c:v>
                </c:pt>
                <c:pt idx="61">
                  <c:v>0.3</c:v>
                </c:pt>
                <c:pt idx="62">
                  <c:v>-2.1</c:v>
                </c:pt>
                <c:pt idx="63">
                  <c:v>-5.3</c:v>
                </c:pt>
                <c:pt idx="64">
                  <c:v>-6</c:v>
                </c:pt>
                <c:pt idx="65">
                  <c:v>-7.5</c:v>
                </c:pt>
                <c:pt idx="66">
                  <c:v>-5.0999999999999996</c:v>
                </c:pt>
                <c:pt idx="67">
                  <c:v>-5.3</c:v>
                </c:pt>
                <c:pt idx="68">
                  <c:v>-5.2</c:v>
                </c:pt>
                <c:pt idx="69">
                  <c:v>-6.6</c:v>
                </c:pt>
                <c:pt idx="70">
                  <c:v>-5.2</c:v>
                </c:pt>
                <c:pt idx="71">
                  <c:v>0.4</c:v>
                </c:pt>
                <c:pt idx="72">
                  <c:v>-1.2</c:v>
                </c:pt>
                <c:pt idx="73">
                  <c:v>-5.5</c:v>
                </c:pt>
                <c:pt idx="74">
                  <c:v>-6.2</c:v>
                </c:pt>
                <c:pt idx="75">
                  <c:v>-5.2</c:v>
                </c:pt>
                <c:pt idx="76">
                  <c:v>-5.5</c:v>
                </c:pt>
                <c:pt idx="77">
                  <c:v>-5.6</c:v>
                </c:pt>
                <c:pt idx="78">
                  <c:v>-2.8</c:v>
                </c:pt>
                <c:pt idx="79">
                  <c:v>-6</c:v>
                </c:pt>
                <c:pt idx="80">
                  <c:v>-6.1</c:v>
                </c:pt>
                <c:pt idx="81">
                  <c:v>0.9</c:v>
                </c:pt>
                <c:pt idx="82">
                  <c:v>-0.7</c:v>
                </c:pt>
                <c:pt idx="83">
                  <c:v>-4.2</c:v>
                </c:pt>
                <c:pt idx="84">
                  <c:v>-3.3</c:v>
                </c:pt>
                <c:pt idx="85">
                  <c:v>-4.5999999999999996</c:v>
                </c:pt>
                <c:pt idx="86">
                  <c:v>-5.2</c:v>
                </c:pt>
                <c:pt idx="87">
                  <c:v>-3.6</c:v>
                </c:pt>
                <c:pt idx="88">
                  <c:v>-3.2</c:v>
                </c:pt>
                <c:pt idx="89">
                  <c:v>-5.6</c:v>
                </c:pt>
                <c:pt idx="90">
                  <c:v>-5.0999999999999996</c:v>
                </c:pt>
                <c:pt idx="91">
                  <c:v>-14.6</c:v>
                </c:pt>
                <c:pt idx="92">
                  <c:v>-31.9</c:v>
                </c:pt>
                <c:pt idx="93">
                  <c:v>-6.7</c:v>
                </c:pt>
                <c:pt idx="94">
                  <c:v>-6.1</c:v>
                </c:pt>
                <c:pt idx="95">
                  <c:v>-5.4</c:v>
                </c:pt>
                <c:pt idx="96">
                  <c:v>-5.4</c:v>
                </c:pt>
                <c:pt idx="97">
                  <c:v>-18.899999999999999</c:v>
                </c:pt>
                <c:pt idx="98">
                  <c:v>-18.399999999999999</c:v>
                </c:pt>
                <c:pt idx="99">
                  <c:v>-6.6</c:v>
                </c:pt>
                <c:pt idx="100">
                  <c:v>-5.0999999999999996</c:v>
                </c:pt>
                <c:pt idx="101">
                  <c:v>-2.5</c:v>
                </c:pt>
                <c:pt idx="102">
                  <c:v>-3.7</c:v>
                </c:pt>
                <c:pt idx="103">
                  <c:v>-5.6</c:v>
                </c:pt>
                <c:pt idx="104">
                  <c:v>-4.8</c:v>
                </c:pt>
                <c:pt idx="105">
                  <c:v>1.3</c:v>
                </c:pt>
                <c:pt idx="106">
                  <c:v>2.1</c:v>
                </c:pt>
                <c:pt idx="107">
                  <c:v>-0.9</c:v>
                </c:pt>
                <c:pt idx="108">
                  <c:v>-3.2</c:v>
                </c:pt>
                <c:pt idx="109">
                  <c:v>-2.5</c:v>
                </c:pt>
                <c:pt idx="110">
                  <c:v>-3.1</c:v>
                </c:pt>
                <c:pt idx="1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D92-4BF3-98CE-894AAEEEB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021355"/>
        <c:axId val="81353005"/>
      </c:scatterChart>
      <c:valAx>
        <c:axId val="8590213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353005"/>
        <c:crosses val="autoZero"/>
        <c:crossBetween val="midCat"/>
      </c:valAx>
      <c:valAx>
        <c:axId val="81353005"/>
        <c:scaling>
          <c:orientation val="minMax"/>
          <c:min val="-2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Isotope Concentration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902135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l-GR" b="0">
                <a:solidFill>
                  <a:srgbClr val="757575"/>
                </a:solidFill>
                <a:latin typeface="+mn-lt"/>
              </a:rPr>
              <a:t>δ18</a:t>
            </a:r>
            <a:r>
              <a:rPr lang="en-US" b="0">
                <a:solidFill>
                  <a:srgbClr val="757575"/>
                </a:solidFill>
                <a:latin typeface="+mn-lt"/>
              </a:rPr>
              <a:t>O (‰), </a:t>
            </a:r>
            <a:r>
              <a:rPr lang="el-GR" b="0">
                <a:solidFill>
                  <a:srgbClr val="757575"/>
                </a:solidFill>
                <a:latin typeface="+mn-lt"/>
              </a:rPr>
              <a:t>δ2</a:t>
            </a:r>
            <a:r>
              <a:rPr lang="en-US" b="0">
                <a:solidFill>
                  <a:srgbClr val="757575"/>
                </a:solidFill>
                <a:latin typeface="+mn-lt"/>
              </a:rPr>
              <a:t>H (‰) and Discharge (ft^3/s)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'Hailey''s Data'!$D$1:$D$2</c:f>
              <c:strCache>
                <c:ptCount val="2"/>
                <c:pt idx="0">
                  <c:v>-2.6</c:v>
                </c:pt>
                <c:pt idx="1">
                  <c:v>-1.9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strRef>
              <c:f>'Hailey''s Data'!$I$3:$I$1074</c:f>
              <c:strCache>
                <c:ptCount val="112"/>
                <c:pt idx="0">
                  <c:v>15.5</c:v>
                </c:pt>
                <c:pt idx="1">
                  <c:v>14.5</c:v>
                </c:pt>
                <c:pt idx="2">
                  <c:v>22.1</c:v>
                </c:pt>
                <c:pt idx="3">
                  <c:v>19.2</c:v>
                </c:pt>
                <c:pt idx="4">
                  <c:v>17.8</c:v>
                </c:pt>
                <c:pt idx="5">
                  <c:v>17.1</c:v>
                </c:pt>
                <c:pt idx="6">
                  <c:v>15.1</c:v>
                </c:pt>
                <c:pt idx="7">
                  <c:v>15.3</c:v>
                </c:pt>
                <c:pt idx="8">
                  <c:v>14.1</c:v>
                </c:pt>
                <c:pt idx="9">
                  <c:v>14.8</c:v>
                </c:pt>
                <c:pt idx="10">
                  <c:v>20.6</c:v>
                </c:pt>
                <c:pt idx="11">
                  <c:v>22.4</c:v>
                </c:pt>
                <c:pt idx="12">
                  <c:v>20.9</c:v>
                </c:pt>
                <c:pt idx="13">
                  <c:v>20.9</c:v>
                </c:pt>
                <c:pt idx="14">
                  <c:v>12</c:v>
                </c:pt>
                <c:pt idx="15">
                  <c:v>11.7</c:v>
                </c:pt>
                <c:pt idx="16">
                  <c:v>13.5</c:v>
                </c:pt>
                <c:pt idx="17">
                  <c:v>38.3</c:v>
                </c:pt>
                <c:pt idx="18">
                  <c:v>33.8</c:v>
                </c:pt>
                <c:pt idx="19">
                  <c:v>30.7</c:v>
                </c:pt>
                <c:pt idx="20">
                  <c:v>22.3</c:v>
                </c:pt>
                <c:pt idx="21">
                  <c:v>20.1</c:v>
                </c:pt>
                <c:pt idx="22">
                  <c:v>8.52</c:v>
                </c:pt>
                <c:pt idx="23">
                  <c:v>8.52</c:v>
                </c:pt>
                <c:pt idx="24">
                  <c:v>9.31</c:v>
                </c:pt>
                <c:pt idx="25">
                  <c:v>9.31</c:v>
                </c:pt>
                <c:pt idx="26">
                  <c:v>4.52</c:v>
                </c:pt>
                <c:pt idx="27">
                  <c:v>4.52</c:v>
                </c:pt>
                <c:pt idx="28">
                  <c:v>4.52</c:v>
                </c:pt>
                <c:pt idx="29">
                  <c:v>15.16</c:v>
                </c:pt>
                <c:pt idx="30">
                  <c:v>11.4</c:v>
                </c:pt>
                <c:pt idx="31">
                  <c:v>11.1</c:v>
                </c:pt>
                <c:pt idx="32">
                  <c:v>6.57</c:v>
                </c:pt>
                <c:pt idx="33">
                  <c:v>7.3</c:v>
                </c:pt>
                <c:pt idx="34">
                  <c:v>7.05</c:v>
                </c:pt>
                <c:pt idx="35">
                  <c:v>6.57</c:v>
                </c:pt>
                <c:pt idx="36">
                  <c:v>24.8</c:v>
                </c:pt>
                <c:pt idx="37">
                  <c:v>71.1</c:v>
                </c:pt>
                <c:pt idx="38">
                  <c:v>47.4</c:v>
                </c:pt>
                <c:pt idx="39">
                  <c:v>3.16</c:v>
                </c:pt>
                <c:pt idx="40">
                  <c:v>11</c:v>
                </c:pt>
                <c:pt idx="41">
                  <c:v>3.71</c:v>
                </c:pt>
                <c:pt idx="42">
                  <c:v>3.71</c:v>
                </c:pt>
                <c:pt idx="43">
                  <c:v>4.91</c:v>
                </c:pt>
                <c:pt idx="44">
                  <c:v>4.71</c:v>
                </c:pt>
                <c:pt idx="45">
                  <c:v>5.12</c:v>
                </c:pt>
                <c:pt idx="46">
                  <c:v>5.12</c:v>
                </c:pt>
                <c:pt idx="47">
                  <c:v>9.52</c:v>
                </c:pt>
                <c:pt idx="48">
                  <c:v>10.1</c:v>
                </c:pt>
                <c:pt idx="49">
                  <c:v>8.72</c:v>
                </c:pt>
                <c:pt idx="50">
                  <c:v>8.46</c:v>
                </c:pt>
                <c:pt idx="51">
                  <c:v>3.16</c:v>
                </c:pt>
                <c:pt idx="52">
                  <c:v>3.16</c:v>
                </c:pt>
                <c:pt idx="53">
                  <c:v>3.16</c:v>
                </c:pt>
                <c:pt idx="54">
                  <c:v>3.16</c:v>
                </c:pt>
                <c:pt idx="55">
                  <c:v>2.98</c:v>
                </c:pt>
                <c:pt idx="56">
                  <c:v>2.98</c:v>
                </c:pt>
                <c:pt idx="57">
                  <c:v>2.98</c:v>
                </c:pt>
                <c:pt idx="58">
                  <c:v>2.98</c:v>
                </c:pt>
                <c:pt idx="59">
                  <c:v>3.71</c:v>
                </c:pt>
                <c:pt idx="60">
                  <c:v>3.52</c:v>
                </c:pt>
                <c:pt idx="61">
                  <c:v>3.89</c:v>
                </c:pt>
                <c:pt idx="62">
                  <c:v>6.55</c:v>
                </c:pt>
                <c:pt idx="63">
                  <c:v>6.55</c:v>
                </c:pt>
                <c:pt idx="64">
                  <c:v>5.05</c:v>
                </c:pt>
                <c:pt idx="65">
                  <c:v>3.01</c:v>
                </c:pt>
                <c:pt idx="66">
                  <c:v>3.35</c:v>
                </c:pt>
                <c:pt idx="67">
                  <c:v>3.35</c:v>
                </c:pt>
                <c:pt idx="68">
                  <c:v>3.35</c:v>
                </c:pt>
                <c:pt idx="69">
                  <c:v>6.55</c:v>
                </c:pt>
                <c:pt idx="70">
                  <c:v>6.33</c:v>
                </c:pt>
                <c:pt idx="71">
                  <c:v>4.45</c:v>
                </c:pt>
                <c:pt idx="72">
                  <c:v>4.45</c:v>
                </c:pt>
                <c:pt idx="73">
                  <c:v>4.65</c:v>
                </c:pt>
                <c:pt idx="74">
                  <c:v>4.45</c:v>
                </c:pt>
                <c:pt idx="75">
                  <c:v>4.65</c:v>
                </c:pt>
                <c:pt idx="76">
                  <c:v>3.01</c:v>
                </c:pt>
                <c:pt idx="77">
                  <c:v>4.65</c:v>
                </c:pt>
                <c:pt idx="78">
                  <c:v>3.7</c:v>
                </c:pt>
                <c:pt idx="79">
                  <c:v>4.65</c:v>
                </c:pt>
                <c:pt idx="80">
                  <c:v>9.2</c:v>
                </c:pt>
                <c:pt idx="81">
                  <c:v>2.84</c:v>
                </c:pt>
                <c:pt idx="82">
                  <c:v>2.84</c:v>
                </c:pt>
                <c:pt idx="83">
                  <c:v>2.84</c:v>
                </c:pt>
                <c:pt idx="84">
                  <c:v>2.68</c:v>
                </c:pt>
                <c:pt idx="85">
                  <c:v>2.07</c:v>
                </c:pt>
                <c:pt idx="86">
                  <c:v>2.07</c:v>
                </c:pt>
                <c:pt idx="87">
                  <c:v>2.07</c:v>
                </c:pt>
                <c:pt idx="88">
                  <c:v>2.07</c:v>
                </c:pt>
                <c:pt idx="89">
                  <c:v>2.07</c:v>
                </c:pt>
                <c:pt idx="90">
                  <c:v>2.07</c:v>
                </c:pt>
                <c:pt idx="91">
                  <c:v>146</c:v>
                </c:pt>
                <c:pt idx="92">
                  <c:v>125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11.7</c:v>
                </c:pt>
                <c:pt idx="97">
                  <c:v>19.3</c:v>
                </c:pt>
                <c:pt idx="98">
                  <c:v>24.3</c:v>
                </c:pt>
                <c:pt idx="99">
                  <c:v>8.24</c:v>
                </c:pt>
                <c:pt idx="100">
                  <c:v>7.3</c:v>
                </c:pt>
                <c:pt idx="101">
                  <c:v>2.08</c:v>
                </c:pt>
                <c:pt idx="102">
                  <c:v>2.08</c:v>
                </c:pt>
                <c:pt idx="103">
                  <c:v>2.08</c:v>
                </c:pt>
                <c:pt idx="104">
                  <c:v>1.97</c:v>
                </c:pt>
                <c:pt idx="105">
                  <c:v>2.69</c:v>
                </c:pt>
                <c:pt idx="106">
                  <c:v>2.69</c:v>
                </c:pt>
                <c:pt idx="107">
                  <c:v>10.9</c:v>
                </c:pt>
                <c:pt idx="108">
                  <c:v>10.3</c:v>
                </c:pt>
                <c:pt idx="109">
                  <c:v>10</c:v>
                </c:pt>
                <c:pt idx="110">
                  <c:v>9.5</c:v>
                </c:pt>
                <c:pt idx="111">
                  <c:v>Discharge (ft^3/s)</c:v>
                </c:pt>
              </c:strCache>
            </c:strRef>
          </c:xVal>
          <c:yVal>
            <c:numRef>
              <c:f>'Hailey''s Data'!$D$3:$D$1074</c:f>
              <c:numCache>
                <c:formatCode>General</c:formatCode>
                <c:ptCount val="1072"/>
                <c:pt idx="0">
                  <c:v>-4</c:v>
                </c:pt>
                <c:pt idx="1">
                  <c:v>-3.9</c:v>
                </c:pt>
                <c:pt idx="2">
                  <c:v>-8.3000000000000007</c:v>
                </c:pt>
                <c:pt idx="3">
                  <c:v>-8.4</c:v>
                </c:pt>
                <c:pt idx="4">
                  <c:v>-6.8</c:v>
                </c:pt>
                <c:pt idx="5">
                  <c:v>-5</c:v>
                </c:pt>
                <c:pt idx="6">
                  <c:v>-3.7</c:v>
                </c:pt>
                <c:pt idx="7">
                  <c:v>-2.6</c:v>
                </c:pt>
                <c:pt idx="8">
                  <c:v>-3.1</c:v>
                </c:pt>
                <c:pt idx="9">
                  <c:v>-3.1</c:v>
                </c:pt>
                <c:pt idx="10">
                  <c:v>-2.5</c:v>
                </c:pt>
                <c:pt idx="11">
                  <c:v>-2.4</c:v>
                </c:pt>
                <c:pt idx="12">
                  <c:v>-2.1</c:v>
                </c:pt>
                <c:pt idx="13">
                  <c:v>-2.1</c:v>
                </c:pt>
                <c:pt idx="14">
                  <c:v>-2.1</c:v>
                </c:pt>
                <c:pt idx="15">
                  <c:v>-2.1</c:v>
                </c:pt>
                <c:pt idx="16">
                  <c:v>-1.3</c:v>
                </c:pt>
                <c:pt idx="17">
                  <c:v>-2.8</c:v>
                </c:pt>
                <c:pt idx="18">
                  <c:v>-2.9</c:v>
                </c:pt>
                <c:pt idx="19">
                  <c:v>-3.1</c:v>
                </c:pt>
                <c:pt idx="20">
                  <c:v>-2.7</c:v>
                </c:pt>
                <c:pt idx="21">
                  <c:v>-2.7</c:v>
                </c:pt>
                <c:pt idx="22">
                  <c:v>-2.2999999999999998</c:v>
                </c:pt>
                <c:pt idx="23">
                  <c:v>-2.2999999999999998</c:v>
                </c:pt>
                <c:pt idx="24">
                  <c:v>-2.1</c:v>
                </c:pt>
                <c:pt idx="25">
                  <c:v>-2.1</c:v>
                </c:pt>
                <c:pt idx="26">
                  <c:v>-2.2000000000000002</c:v>
                </c:pt>
                <c:pt idx="27">
                  <c:v>-2.2000000000000002</c:v>
                </c:pt>
                <c:pt idx="28">
                  <c:v>-1.4</c:v>
                </c:pt>
                <c:pt idx="29">
                  <c:v>-2.6</c:v>
                </c:pt>
                <c:pt idx="30">
                  <c:v>-2.4</c:v>
                </c:pt>
                <c:pt idx="31">
                  <c:v>-2.4</c:v>
                </c:pt>
                <c:pt idx="32">
                  <c:v>-2.4</c:v>
                </c:pt>
                <c:pt idx="33">
                  <c:v>-2.1</c:v>
                </c:pt>
                <c:pt idx="34">
                  <c:v>-2.2999999999999998</c:v>
                </c:pt>
                <c:pt idx="35">
                  <c:v>-2.4</c:v>
                </c:pt>
                <c:pt idx="36">
                  <c:v>-2.6</c:v>
                </c:pt>
                <c:pt idx="37">
                  <c:v>-2.4</c:v>
                </c:pt>
                <c:pt idx="38">
                  <c:v>-2.2999999999999998</c:v>
                </c:pt>
                <c:pt idx="39">
                  <c:v>-3</c:v>
                </c:pt>
                <c:pt idx="40">
                  <c:v>-2.6</c:v>
                </c:pt>
                <c:pt idx="41">
                  <c:v>-0.5</c:v>
                </c:pt>
                <c:pt idx="42">
                  <c:v>-1.3</c:v>
                </c:pt>
                <c:pt idx="43">
                  <c:v>-2.2999999999999998</c:v>
                </c:pt>
                <c:pt idx="44">
                  <c:v>-2.4</c:v>
                </c:pt>
                <c:pt idx="45">
                  <c:v>-2.4</c:v>
                </c:pt>
                <c:pt idx="46">
                  <c:v>-2.2999999999999998</c:v>
                </c:pt>
                <c:pt idx="47">
                  <c:v>-2.2999999999999998</c:v>
                </c:pt>
                <c:pt idx="48">
                  <c:v>-2.1</c:v>
                </c:pt>
                <c:pt idx="49">
                  <c:v>-2.5</c:v>
                </c:pt>
                <c:pt idx="50">
                  <c:v>-2.5</c:v>
                </c:pt>
                <c:pt idx="51">
                  <c:v>-0.3</c:v>
                </c:pt>
                <c:pt idx="52">
                  <c:v>-1.6</c:v>
                </c:pt>
                <c:pt idx="53">
                  <c:v>-2.2999999999999998</c:v>
                </c:pt>
                <c:pt idx="54">
                  <c:v>-2.2999999999999998</c:v>
                </c:pt>
                <c:pt idx="55">
                  <c:v>-2.6</c:v>
                </c:pt>
                <c:pt idx="56">
                  <c:v>-2.4</c:v>
                </c:pt>
                <c:pt idx="57">
                  <c:v>-2.4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-2.2999999999999998</c:v>
                </c:pt>
                <c:pt idx="61">
                  <c:v>-0.3</c:v>
                </c:pt>
                <c:pt idx="62">
                  <c:v>-1.2</c:v>
                </c:pt>
                <c:pt idx="63">
                  <c:v>-2.2999999999999998</c:v>
                </c:pt>
                <c:pt idx="64">
                  <c:v>-2.5</c:v>
                </c:pt>
                <c:pt idx="65">
                  <c:v>-2.8</c:v>
                </c:pt>
                <c:pt idx="66">
                  <c:v>-2.4</c:v>
                </c:pt>
                <c:pt idx="67">
                  <c:v>-2.4</c:v>
                </c:pt>
                <c:pt idx="68">
                  <c:v>-2.4</c:v>
                </c:pt>
                <c:pt idx="69">
                  <c:v>-2.7</c:v>
                </c:pt>
                <c:pt idx="70">
                  <c:v>-2.4</c:v>
                </c:pt>
                <c:pt idx="71">
                  <c:v>-0.4</c:v>
                </c:pt>
                <c:pt idx="72">
                  <c:v>-0.9</c:v>
                </c:pt>
                <c:pt idx="73">
                  <c:v>-2.4</c:v>
                </c:pt>
                <c:pt idx="74">
                  <c:v>-2.4</c:v>
                </c:pt>
                <c:pt idx="75">
                  <c:v>-2.4</c:v>
                </c:pt>
                <c:pt idx="76">
                  <c:v>-2.2000000000000002</c:v>
                </c:pt>
                <c:pt idx="77">
                  <c:v>-2.5</c:v>
                </c:pt>
                <c:pt idx="78">
                  <c:v>-1.8</c:v>
                </c:pt>
                <c:pt idx="79">
                  <c:v>-2.4</c:v>
                </c:pt>
                <c:pt idx="80">
                  <c:v>-2.6</c:v>
                </c:pt>
                <c:pt idx="81">
                  <c:v>-0.4</c:v>
                </c:pt>
                <c:pt idx="82">
                  <c:v>-0.9</c:v>
                </c:pt>
                <c:pt idx="83">
                  <c:v>-2.2999999999999998</c:v>
                </c:pt>
                <c:pt idx="84">
                  <c:v>-2.2000000000000002</c:v>
                </c:pt>
                <c:pt idx="85">
                  <c:v>-2.4</c:v>
                </c:pt>
                <c:pt idx="86">
                  <c:v>-2.4</c:v>
                </c:pt>
                <c:pt idx="87">
                  <c:v>-2.4</c:v>
                </c:pt>
                <c:pt idx="88">
                  <c:v>-2.1</c:v>
                </c:pt>
                <c:pt idx="89">
                  <c:v>-2.6</c:v>
                </c:pt>
                <c:pt idx="90">
                  <c:v>-2.5</c:v>
                </c:pt>
                <c:pt idx="91">
                  <c:v>-3.4</c:v>
                </c:pt>
                <c:pt idx="92">
                  <c:v>-5.6</c:v>
                </c:pt>
                <c:pt idx="93">
                  <c:v>-2.7</c:v>
                </c:pt>
                <c:pt idx="94">
                  <c:v>-2.5</c:v>
                </c:pt>
                <c:pt idx="95">
                  <c:v>-2.5</c:v>
                </c:pt>
                <c:pt idx="96">
                  <c:v>-2.5</c:v>
                </c:pt>
                <c:pt idx="97">
                  <c:v>-3.9</c:v>
                </c:pt>
                <c:pt idx="98">
                  <c:v>-3.8</c:v>
                </c:pt>
                <c:pt idx="99">
                  <c:v>-2.8</c:v>
                </c:pt>
                <c:pt idx="100">
                  <c:v>-2.4</c:v>
                </c:pt>
                <c:pt idx="101">
                  <c:v>-2.4</c:v>
                </c:pt>
                <c:pt idx="102">
                  <c:v>-2.2000000000000002</c:v>
                </c:pt>
                <c:pt idx="103">
                  <c:v>-2.6</c:v>
                </c:pt>
                <c:pt idx="104">
                  <c:v>-2.4</c:v>
                </c:pt>
                <c:pt idx="105">
                  <c:v>-1.6</c:v>
                </c:pt>
                <c:pt idx="106">
                  <c:v>-1.5</c:v>
                </c:pt>
                <c:pt idx="107">
                  <c:v>-1.6</c:v>
                </c:pt>
                <c:pt idx="108">
                  <c:v>-2.4</c:v>
                </c:pt>
                <c:pt idx="109">
                  <c:v>-2.2999999999999998</c:v>
                </c:pt>
                <c:pt idx="110">
                  <c:v>-2.4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B5-4508-B3CF-30A9AE3BAECA}"/>
            </c:ext>
          </c:extLst>
        </c:ser>
        <c:ser>
          <c:idx val="1"/>
          <c:order val="1"/>
          <c:tx>
            <c:strRef>
              <c:f>'Hailey''s Data'!$E$1:$E$2</c:f>
              <c:strCache>
                <c:ptCount val="2"/>
                <c:pt idx="0">
                  <c:v>-6.7</c:v>
                </c:pt>
                <c:pt idx="1">
                  <c:v>-2.2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strRef>
              <c:f>'Hailey''s Data'!$I$3:$I$1074</c:f>
              <c:strCache>
                <c:ptCount val="112"/>
                <c:pt idx="0">
                  <c:v>15.5</c:v>
                </c:pt>
                <c:pt idx="1">
                  <c:v>14.5</c:v>
                </c:pt>
                <c:pt idx="2">
                  <c:v>22.1</c:v>
                </c:pt>
                <c:pt idx="3">
                  <c:v>19.2</c:v>
                </c:pt>
                <c:pt idx="4">
                  <c:v>17.8</c:v>
                </c:pt>
                <c:pt idx="5">
                  <c:v>17.1</c:v>
                </c:pt>
                <c:pt idx="6">
                  <c:v>15.1</c:v>
                </c:pt>
                <c:pt idx="7">
                  <c:v>15.3</c:v>
                </c:pt>
                <c:pt idx="8">
                  <c:v>14.1</c:v>
                </c:pt>
                <c:pt idx="9">
                  <c:v>14.8</c:v>
                </c:pt>
                <c:pt idx="10">
                  <c:v>20.6</c:v>
                </c:pt>
                <c:pt idx="11">
                  <c:v>22.4</c:v>
                </c:pt>
                <c:pt idx="12">
                  <c:v>20.9</c:v>
                </c:pt>
                <c:pt idx="13">
                  <c:v>20.9</c:v>
                </c:pt>
                <c:pt idx="14">
                  <c:v>12</c:v>
                </c:pt>
                <c:pt idx="15">
                  <c:v>11.7</c:v>
                </c:pt>
                <c:pt idx="16">
                  <c:v>13.5</c:v>
                </c:pt>
                <c:pt idx="17">
                  <c:v>38.3</c:v>
                </c:pt>
                <c:pt idx="18">
                  <c:v>33.8</c:v>
                </c:pt>
                <c:pt idx="19">
                  <c:v>30.7</c:v>
                </c:pt>
                <c:pt idx="20">
                  <c:v>22.3</c:v>
                </c:pt>
                <c:pt idx="21">
                  <c:v>20.1</c:v>
                </c:pt>
                <c:pt idx="22">
                  <c:v>8.52</c:v>
                </c:pt>
                <c:pt idx="23">
                  <c:v>8.52</c:v>
                </c:pt>
                <c:pt idx="24">
                  <c:v>9.31</c:v>
                </c:pt>
                <c:pt idx="25">
                  <c:v>9.31</c:v>
                </c:pt>
                <c:pt idx="26">
                  <c:v>4.52</c:v>
                </c:pt>
                <c:pt idx="27">
                  <c:v>4.52</c:v>
                </c:pt>
                <c:pt idx="28">
                  <c:v>4.52</c:v>
                </c:pt>
                <c:pt idx="29">
                  <c:v>15.16</c:v>
                </c:pt>
                <c:pt idx="30">
                  <c:v>11.4</c:v>
                </c:pt>
                <c:pt idx="31">
                  <c:v>11.1</c:v>
                </c:pt>
                <c:pt idx="32">
                  <c:v>6.57</c:v>
                </c:pt>
                <c:pt idx="33">
                  <c:v>7.3</c:v>
                </c:pt>
                <c:pt idx="34">
                  <c:v>7.05</c:v>
                </c:pt>
                <c:pt idx="35">
                  <c:v>6.57</c:v>
                </c:pt>
                <c:pt idx="36">
                  <c:v>24.8</c:v>
                </c:pt>
                <c:pt idx="37">
                  <c:v>71.1</c:v>
                </c:pt>
                <c:pt idx="38">
                  <c:v>47.4</c:v>
                </c:pt>
                <c:pt idx="39">
                  <c:v>3.16</c:v>
                </c:pt>
                <c:pt idx="40">
                  <c:v>11</c:v>
                </c:pt>
                <c:pt idx="41">
                  <c:v>3.71</c:v>
                </c:pt>
                <c:pt idx="42">
                  <c:v>3.71</c:v>
                </c:pt>
                <c:pt idx="43">
                  <c:v>4.91</c:v>
                </c:pt>
                <c:pt idx="44">
                  <c:v>4.71</c:v>
                </c:pt>
                <c:pt idx="45">
                  <c:v>5.12</c:v>
                </c:pt>
                <c:pt idx="46">
                  <c:v>5.12</c:v>
                </c:pt>
                <c:pt idx="47">
                  <c:v>9.52</c:v>
                </c:pt>
                <c:pt idx="48">
                  <c:v>10.1</c:v>
                </c:pt>
                <c:pt idx="49">
                  <c:v>8.72</c:v>
                </c:pt>
                <c:pt idx="50">
                  <c:v>8.46</c:v>
                </c:pt>
                <c:pt idx="51">
                  <c:v>3.16</c:v>
                </c:pt>
                <c:pt idx="52">
                  <c:v>3.16</c:v>
                </c:pt>
                <c:pt idx="53">
                  <c:v>3.16</c:v>
                </c:pt>
                <c:pt idx="54">
                  <c:v>3.16</c:v>
                </c:pt>
                <c:pt idx="55">
                  <c:v>2.98</c:v>
                </c:pt>
                <c:pt idx="56">
                  <c:v>2.98</c:v>
                </c:pt>
                <c:pt idx="57">
                  <c:v>2.98</c:v>
                </c:pt>
                <c:pt idx="58">
                  <c:v>2.98</c:v>
                </c:pt>
                <c:pt idx="59">
                  <c:v>3.71</c:v>
                </c:pt>
                <c:pt idx="60">
                  <c:v>3.52</c:v>
                </c:pt>
                <c:pt idx="61">
                  <c:v>3.89</c:v>
                </c:pt>
                <c:pt idx="62">
                  <c:v>6.55</c:v>
                </c:pt>
                <c:pt idx="63">
                  <c:v>6.55</c:v>
                </c:pt>
                <c:pt idx="64">
                  <c:v>5.05</c:v>
                </c:pt>
                <c:pt idx="65">
                  <c:v>3.01</c:v>
                </c:pt>
                <c:pt idx="66">
                  <c:v>3.35</c:v>
                </c:pt>
                <c:pt idx="67">
                  <c:v>3.35</c:v>
                </c:pt>
                <c:pt idx="68">
                  <c:v>3.35</c:v>
                </c:pt>
                <c:pt idx="69">
                  <c:v>6.55</c:v>
                </c:pt>
                <c:pt idx="70">
                  <c:v>6.33</c:v>
                </c:pt>
                <c:pt idx="71">
                  <c:v>4.45</c:v>
                </c:pt>
                <c:pt idx="72">
                  <c:v>4.45</c:v>
                </c:pt>
                <c:pt idx="73">
                  <c:v>4.65</c:v>
                </c:pt>
                <c:pt idx="74">
                  <c:v>4.45</c:v>
                </c:pt>
                <c:pt idx="75">
                  <c:v>4.65</c:v>
                </c:pt>
                <c:pt idx="76">
                  <c:v>3.01</c:v>
                </c:pt>
                <c:pt idx="77">
                  <c:v>4.65</c:v>
                </c:pt>
                <c:pt idx="78">
                  <c:v>3.7</c:v>
                </c:pt>
                <c:pt idx="79">
                  <c:v>4.65</c:v>
                </c:pt>
                <c:pt idx="80">
                  <c:v>9.2</c:v>
                </c:pt>
                <c:pt idx="81">
                  <c:v>2.84</c:v>
                </c:pt>
                <c:pt idx="82">
                  <c:v>2.84</c:v>
                </c:pt>
                <c:pt idx="83">
                  <c:v>2.84</c:v>
                </c:pt>
                <c:pt idx="84">
                  <c:v>2.68</c:v>
                </c:pt>
                <c:pt idx="85">
                  <c:v>2.07</c:v>
                </c:pt>
                <c:pt idx="86">
                  <c:v>2.07</c:v>
                </c:pt>
                <c:pt idx="87">
                  <c:v>2.07</c:v>
                </c:pt>
                <c:pt idx="88">
                  <c:v>2.07</c:v>
                </c:pt>
                <c:pt idx="89">
                  <c:v>2.07</c:v>
                </c:pt>
                <c:pt idx="90">
                  <c:v>2.07</c:v>
                </c:pt>
                <c:pt idx="91">
                  <c:v>146</c:v>
                </c:pt>
                <c:pt idx="92">
                  <c:v>125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11.7</c:v>
                </c:pt>
                <c:pt idx="97">
                  <c:v>19.3</c:v>
                </c:pt>
                <c:pt idx="98">
                  <c:v>24.3</c:v>
                </c:pt>
                <c:pt idx="99">
                  <c:v>8.24</c:v>
                </c:pt>
                <c:pt idx="100">
                  <c:v>7.3</c:v>
                </c:pt>
                <c:pt idx="101">
                  <c:v>2.08</c:v>
                </c:pt>
                <c:pt idx="102">
                  <c:v>2.08</c:v>
                </c:pt>
                <c:pt idx="103">
                  <c:v>2.08</c:v>
                </c:pt>
                <c:pt idx="104">
                  <c:v>1.97</c:v>
                </c:pt>
                <c:pt idx="105">
                  <c:v>2.69</c:v>
                </c:pt>
                <c:pt idx="106">
                  <c:v>2.69</c:v>
                </c:pt>
                <c:pt idx="107">
                  <c:v>10.9</c:v>
                </c:pt>
                <c:pt idx="108">
                  <c:v>10.3</c:v>
                </c:pt>
                <c:pt idx="109">
                  <c:v>10</c:v>
                </c:pt>
                <c:pt idx="110">
                  <c:v>9.5</c:v>
                </c:pt>
                <c:pt idx="111">
                  <c:v>Discharge (ft^3/s)</c:v>
                </c:pt>
              </c:strCache>
            </c:strRef>
          </c:xVal>
          <c:yVal>
            <c:numRef>
              <c:f>'Hailey''s Data'!$E$3:$E$1074</c:f>
              <c:numCache>
                <c:formatCode>General</c:formatCode>
                <c:ptCount val="1072"/>
                <c:pt idx="0">
                  <c:v>-21.4</c:v>
                </c:pt>
                <c:pt idx="1">
                  <c:v>-20.6</c:v>
                </c:pt>
                <c:pt idx="2">
                  <c:v>-57.5</c:v>
                </c:pt>
                <c:pt idx="3">
                  <c:v>-58.3</c:v>
                </c:pt>
                <c:pt idx="4">
                  <c:v>-46.3</c:v>
                </c:pt>
                <c:pt idx="5">
                  <c:v>-26.9</c:v>
                </c:pt>
                <c:pt idx="6">
                  <c:v>-14.1</c:v>
                </c:pt>
                <c:pt idx="7">
                  <c:v>-7.6</c:v>
                </c:pt>
                <c:pt idx="8">
                  <c:v>-10.6</c:v>
                </c:pt>
                <c:pt idx="9">
                  <c:v>-10.3</c:v>
                </c:pt>
                <c:pt idx="10">
                  <c:v>-6.5</c:v>
                </c:pt>
                <c:pt idx="11">
                  <c:v>-5.7</c:v>
                </c:pt>
                <c:pt idx="12">
                  <c:v>-4.2</c:v>
                </c:pt>
                <c:pt idx="13">
                  <c:v>-4.0999999999999996</c:v>
                </c:pt>
                <c:pt idx="14">
                  <c:v>-4.4000000000000004</c:v>
                </c:pt>
                <c:pt idx="15">
                  <c:v>-4.2</c:v>
                </c:pt>
                <c:pt idx="16">
                  <c:v>-1.6</c:v>
                </c:pt>
                <c:pt idx="17">
                  <c:v>-6.4</c:v>
                </c:pt>
                <c:pt idx="18">
                  <c:v>-6.7</c:v>
                </c:pt>
                <c:pt idx="19">
                  <c:v>-10.3</c:v>
                </c:pt>
                <c:pt idx="20">
                  <c:v>-6.9</c:v>
                </c:pt>
                <c:pt idx="21">
                  <c:v>-6.9</c:v>
                </c:pt>
                <c:pt idx="22">
                  <c:v>-4.5999999999999996</c:v>
                </c:pt>
                <c:pt idx="23">
                  <c:v>-4.5</c:v>
                </c:pt>
                <c:pt idx="24">
                  <c:v>-3.8</c:v>
                </c:pt>
                <c:pt idx="25">
                  <c:v>-3.6</c:v>
                </c:pt>
                <c:pt idx="26">
                  <c:v>-4.5999999999999996</c:v>
                </c:pt>
                <c:pt idx="27">
                  <c:v>-4.7</c:v>
                </c:pt>
                <c:pt idx="28">
                  <c:v>-2</c:v>
                </c:pt>
                <c:pt idx="29">
                  <c:v>-5.4</c:v>
                </c:pt>
                <c:pt idx="30">
                  <c:v>-4.7</c:v>
                </c:pt>
                <c:pt idx="31">
                  <c:v>-4.4000000000000004</c:v>
                </c:pt>
                <c:pt idx="32">
                  <c:v>-4.5999999999999996</c:v>
                </c:pt>
                <c:pt idx="33">
                  <c:v>-4.5</c:v>
                </c:pt>
                <c:pt idx="34">
                  <c:v>-4.3</c:v>
                </c:pt>
                <c:pt idx="35">
                  <c:v>-4.0999999999999996</c:v>
                </c:pt>
                <c:pt idx="36">
                  <c:v>-0.2</c:v>
                </c:pt>
                <c:pt idx="37">
                  <c:v>-0.4</c:v>
                </c:pt>
                <c:pt idx="38">
                  <c:v>0.3</c:v>
                </c:pt>
                <c:pt idx="39">
                  <c:v>-4.3</c:v>
                </c:pt>
                <c:pt idx="40">
                  <c:v>-3.8</c:v>
                </c:pt>
                <c:pt idx="41">
                  <c:v>0.6</c:v>
                </c:pt>
                <c:pt idx="42">
                  <c:v>-1.9</c:v>
                </c:pt>
                <c:pt idx="43">
                  <c:v>-4.4000000000000004</c:v>
                </c:pt>
                <c:pt idx="44">
                  <c:v>-4.9000000000000004</c:v>
                </c:pt>
                <c:pt idx="45">
                  <c:v>-5.4</c:v>
                </c:pt>
                <c:pt idx="46">
                  <c:v>-4</c:v>
                </c:pt>
                <c:pt idx="47">
                  <c:v>-4.0999999999999996</c:v>
                </c:pt>
                <c:pt idx="48">
                  <c:v>-3.1</c:v>
                </c:pt>
                <c:pt idx="49">
                  <c:v>-4.2</c:v>
                </c:pt>
                <c:pt idx="50">
                  <c:v>-4.2</c:v>
                </c:pt>
                <c:pt idx="51">
                  <c:v>1.2</c:v>
                </c:pt>
                <c:pt idx="52">
                  <c:v>-2.6</c:v>
                </c:pt>
                <c:pt idx="53">
                  <c:v>-4.5999999999999996</c:v>
                </c:pt>
                <c:pt idx="54">
                  <c:v>-4.7</c:v>
                </c:pt>
                <c:pt idx="55">
                  <c:v>-5.3</c:v>
                </c:pt>
                <c:pt idx="56">
                  <c:v>-4.5999999999999996</c:v>
                </c:pt>
                <c:pt idx="57">
                  <c:v>-4.5999999999999996</c:v>
                </c:pt>
                <c:pt idx="58">
                  <c:v>-4.4000000000000004</c:v>
                </c:pt>
                <c:pt idx="59">
                  <c:v>-4.8</c:v>
                </c:pt>
                <c:pt idx="60">
                  <c:v>-4.0999999999999996</c:v>
                </c:pt>
                <c:pt idx="61">
                  <c:v>0.3</c:v>
                </c:pt>
                <c:pt idx="62">
                  <c:v>-2.1</c:v>
                </c:pt>
                <c:pt idx="63">
                  <c:v>-5.3</c:v>
                </c:pt>
                <c:pt idx="64">
                  <c:v>-6</c:v>
                </c:pt>
                <c:pt idx="65">
                  <c:v>-7.5</c:v>
                </c:pt>
                <c:pt idx="66">
                  <c:v>-5.0999999999999996</c:v>
                </c:pt>
                <c:pt idx="67">
                  <c:v>-5.3</c:v>
                </c:pt>
                <c:pt idx="68">
                  <c:v>-5.2</c:v>
                </c:pt>
                <c:pt idx="69">
                  <c:v>-6.6</c:v>
                </c:pt>
                <c:pt idx="70">
                  <c:v>-5.2</c:v>
                </c:pt>
                <c:pt idx="71">
                  <c:v>0.4</c:v>
                </c:pt>
                <c:pt idx="72">
                  <c:v>-1.2</c:v>
                </c:pt>
                <c:pt idx="73">
                  <c:v>-5.5</c:v>
                </c:pt>
                <c:pt idx="74">
                  <c:v>-6.2</c:v>
                </c:pt>
                <c:pt idx="75">
                  <c:v>-5.2</c:v>
                </c:pt>
                <c:pt idx="76">
                  <c:v>-5.5</c:v>
                </c:pt>
                <c:pt idx="77">
                  <c:v>-5.6</c:v>
                </c:pt>
                <c:pt idx="78">
                  <c:v>-2.8</c:v>
                </c:pt>
                <c:pt idx="79">
                  <c:v>-6</c:v>
                </c:pt>
                <c:pt idx="80">
                  <c:v>-6.1</c:v>
                </c:pt>
                <c:pt idx="81">
                  <c:v>0.9</c:v>
                </c:pt>
                <c:pt idx="82">
                  <c:v>-0.7</c:v>
                </c:pt>
                <c:pt idx="83">
                  <c:v>-4.2</c:v>
                </c:pt>
                <c:pt idx="84">
                  <c:v>-3.3</c:v>
                </c:pt>
                <c:pt idx="85">
                  <c:v>-4.5999999999999996</c:v>
                </c:pt>
                <c:pt idx="86">
                  <c:v>-5.2</c:v>
                </c:pt>
                <c:pt idx="87">
                  <c:v>-3.6</c:v>
                </c:pt>
                <c:pt idx="88">
                  <c:v>-3.2</c:v>
                </c:pt>
                <c:pt idx="89">
                  <c:v>-5.6</c:v>
                </c:pt>
                <c:pt idx="90">
                  <c:v>-5.0999999999999996</c:v>
                </c:pt>
                <c:pt idx="91">
                  <c:v>-14.6</c:v>
                </c:pt>
                <c:pt idx="92">
                  <c:v>-31.9</c:v>
                </c:pt>
                <c:pt idx="93">
                  <c:v>-6.7</c:v>
                </c:pt>
                <c:pt idx="94">
                  <c:v>-6.1</c:v>
                </c:pt>
                <c:pt idx="95">
                  <c:v>-5.4</c:v>
                </c:pt>
                <c:pt idx="96">
                  <c:v>-5.4</c:v>
                </c:pt>
                <c:pt idx="97">
                  <c:v>-18.899999999999999</c:v>
                </c:pt>
                <c:pt idx="98">
                  <c:v>-18.399999999999999</c:v>
                </c:pt>
                <c:pt idx="99">
                  <c:v>-6.6</c:v>
                </c:pt>
                <c:pt idx="100">
                  <c:v>-5.0999999999999996</c:v>
                </c:pt>
                <c:pt idx="101">
                  <c:v>-2.5</c:v>
                </c:pt>
                <c:pt idx="102">
                  <c:v>-3.7</c:v>
                </c:pt>
                <c:pt idx="103">
                  <c:v>-5.6</c:v>
                </c:pt>
                <c:pt idx="104">
                  <c:v>-4.8</c:v>
                </c:pt>
                <c:pt idx="105">
                  <c:v>1.3</c:v>
                </c:pt>
                <c:pt idx="106">
                  <c:v>2.1</c:v>
                </c:pt>
                <c:pt idx="107">
                  <c:v>-0.9</c:v>
                </c:pt>
                <c:pt idx="108">
                  <c:v>-3.2</c:v>
                </c:pt>
                <c:pt idx="109">
                  <c:v>-2.5</c:v>
                </c:pt>
                <c:pt idx="110">
                  <c:v>-3.1</c:v>
                </c:pt>
                <c:pt idx="1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B5-4508-B3CF-30A9AE3BA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977711"/>
        <c:axId val="877608151"/>
      </c:scatterChart>
      <c:valAx>
        <c:axId val="6079777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Discharge (ft^3/s)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7608151"/>
        <c:crosses val="autoZero"/>
        <c:crossBetween val="midCat"/>
      </c:valAx>
      <c:valAx>
        <c:axId val="877608151"/>
        <c:scaling>
          <c:orientation val="minMax"/>
          <c:min val="-2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Isotope Concentration (per mil)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797771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l-GR" b="0">
                <a:solidFill>
                  <a:srgbClr val="757575"/>
                </a:solidFill>
                <a:latin typeface="+mn-lt"/>
              </a:rPr>
              <a:t>δ18</a:t>
            </a:r>
            <a:r>
              <a:rPr lang="en-US" b="0">
                <a:solidFill>
                  <a:srgbClr val="757575"/>
                </a:solidFill>
                <a:latin typeface="+mn-lt"/>
              </a:rPr>
              <a:t>O (‰), </a:t>
            </a:r>
            <a:r>
              <a:rPr lang="el-GR" b="0">
                <a:solidFill>
                  <a:srgbClr val="757575"/>
                </a:solidFill>
                <a:latin typeface="+mn-lt"/>
              </a:rPr>
              <a:t>δ2</a:t>
            </a:r>
            <a:r>
              <a:rPr lang="en-US" b="0">
                <a:solidFill>
                  <a:srgbClr val="757575"/>
                </a:solidFill>
                <a:latin typeface="+mn-lt"/>
              </a:rPr>
              <a:t>H (‰) and Radon (Bq/m^3)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'Hailey''s Data'!$D$1:$D$2</c:f>
              <c:strCache>
                <c:ptCount val="2"/>
                <c:pt idx="0">
                  <c:v>-2.6</c:v>
                </c:pt>
                <c:pt idx="1">
                  <c:v>-1.9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strRef>
              <c:f>'Hailey''s Data'!$J$3:$J$1074</c:f>
              <c:strCache>
                <c:ptCount val="112"/>
                <c:pt idx="0">
                  <c:v>9.272717</c:v>
                </c:pt>
                <c:pt idx="1">
                  <c:v>14.0375921</c:v>
                </c:pt>
                <c:pt idx="2">
                  <c:v>68.7726688</c:v>
                </c:pt>
                <c:pt idx="3">
                  <c:v>14.7469771</c:v>
                </c:pt>
                <c:pt idx="4">
                  <c:v>84.999915</c:v>
                </c:pt>
                <c:pt idx="5">
                  <c:v>25.2751738</c:v>
                </c:pt>
                <c:pt idx="6">
                  <c:v>87.3181075</c:v>
                </c:pt>
                <c:pt idx="7">
                  <c:v>240.4219</c:v>
                </c:pt>
                <c:pt idx="8">
                  <c:v>57.9544963</c:v>
                </c:pt>
                <c:pt idx="9">
                  <c:v>279.846025</c:v>
                </c:pt>
                <c:pt idx="10">
                  <c:v>43.2726888</c:v>
                </c:pt>
                <c:pt idx="11">
                  <c:v>80.7161475</c:v>
                </c:pt>
                <c:pt idx="12">
                  <c:v>6.954538</c:v>
                </c:pt>
                <c:pt idx="13">
                  <c:v>11.9319539</c:v>
                </c:pt>
                <c:pt idx="14">
                  <c:v>45.5908713</c:v>
                </c:pt>
                <c:pt idx="15">
                  <c:v>119.344563</c:v>
                </c:pt>
                <c:pt idx="16">
                  <c:v>45.59087</c:v>
                </c:pt>
                <c:pt idx="17">
                  <c:v>3.08000338</c:v>
                </c:pt>
                <c:pt idx="18">
                  <c:v>90.5862638</c:v>
                </c:pt>
                <c:pt idx="19">
                  <c:v>6.953165</c:v>
                </c:pt>
                <c:pt idx="20">
                  <c:v>38.6020175</c:v>
                </c:pt>
                <c:pt idx="21">
                  <c:v>46.0854188</c:v>
                </c:pt>
                <c:pt idx="22">
                  <c:v>21.6061463</c:v>
                </c:pt>
                <c:pt idx="23">
                  <c:v>85.6670013</c:v>
                </c:pt>
                <c:pt idx="24">
                  <c:v>4.6281233</c:v>
                </c:pt>
                <c:pt idx="25">
                  <c:v>13.1672625</c:v>
                </c:pt>
                <c:pt idx="26">
                  <c:v>15.4270778</c:v>
                </c:pt>
                <c:pt idx="27">
                  <c:v>93.63542</c:v>
                </c:pt>
                <c:pt idx="28">
                  <c:v>137.1601475</c:v>
                </c:pt>
                <c:pt idx="29">
                  <c:v>89.6547288</c:v>
                </c:pt>
                <c:pt idx="30">
                  <c:v>34.7301488</c:v>
                </c:pt>
                <c:pt idx="31">
                  <c:v>10.8155153</c:v>
                </c:pt>
                <c:pt idx="32">
                  <c:v>2.893458</c:v>
                </c:pt>
                <c:pt idx="33">
                  <c:v>11.5703063</c:v>
                </c:pt>
                <c:pt idx="34">
                  <c:v>5.7674203</c:v>
                </c:pt>
                <c:pt idx="35">
                  <c:v>90.4090125</c:v>
                </c:pt>
                <c:pt idx="36">
                  <c:v>5.0468135</c:v>
                </c:pt>
                <c:pt idx="37">
                  <c:v>38.5924063</c:v>
                </c:pt>
                <c:pt idx="38">
                  <c:v>7.931806</c:v>
                </c:pt>
                <c:pt idx="40">
                  <c:v>220.9997875</c:v>
                </c:pt>
                <c:pt idx="41">
                  <c:v>3.613311</c:v>
                </c:pt>
                <c:pt idx="42">
                  <c:v>84.3552938</c:v>
                </c:pt>
                <c:pt idx="43">
                  <c:v>10.8476425</c:v>
                </c:pt>
                <c:pt idx="44">
                  <c:v>20.892555</c:v>
                </c:pt>
                <c:pt idx="45">
                  <c:v>2.169528</c:v>
                </c:pt>
                <c:pt idx="46">
                  <c:v>71.1790638</c:v>
                </c:pt>
                <c:pt idx="47">
                  <c:v>22.4030448</c:v>
                </c:pt>
                <c:pt idx="48">
                  <c:v>54.95036</c:v>
                </c:pt>
                <c:pt idx="49">
                  <c:v>5.78540975</c:v>
                </c:pt>
                <c:pt idx="50">
                  <c:v>360.36915</c:v>
                </c:pt>
                <c:pt idx="51">
                  <c:v>7.909755</c:v>
                </c:pt>
                <c:pt idx="52">
                  <c:v>102.93104</c:v>
                </c:pt>
                <c:pt idx="53">
                  <c:v>3.95722</c:v>
                </c:pt>
                <c:pt idx="54">
                  <c:v>13.159764</c:v>
                </c:pt>
                <c:pt idx="55">
                  <c:v>19.7814125</c:v>
                </c:pt>
                <c:pt idx="56">
                  <c:v>36.3746213</c:v>
                </c:pt>
                <c:pt idx="57">
                  <c:v>64.6228575</c:v>
                </c:pt>
                <c:pt idx="58">
                  <c:v>5.418727</c:v>
                </c:pt>
                <c:pt idx="59">
                  <c:v>26.367405</c:v>
                </c:pt>
                <c:pt idx="60">
                  <c:v>215.840238</c:v>
                </c:pt>
                <c:pt idx="61">
                  <c:v>83.0500688</c:v>
                </c:pt>
                <c:pt idx="62">
                  <c:v>129.977955</c:v>
                </c:pt>
                <c:pt idx="63">
                  <c:v>52.6170713</c:v>
                </c:pt>
                <c:pt idx="64">
                  <c:v>10.5525863</c:v>
                </c:pt>
                <c:pt idx="65">
                  <c:v>6.59068</c:v>
                </c:pt>
                <c:pt idx="66">
                  <c:v>112.96968</c:v>
                </c:pt>
                <c:pt idx="67">
                  <c:v>11.866975</c:v>
                </c:pt>
                <c:pt idx="68">
                  <c:v>20.8952978</c:v>
                </c:pt>
                <c:pt idx="69">
                  <c:v>3.95722</c:v>
                </c:pt>
                <c:pt idx="70">
                  <c:v>213.6653</c:v>
                </c:pt>
                <c:pt idx="71">
                  <c:v>8.6755458</c:v>
                </c:pt>
                <c:pt idx="72">
                  <c:v>67.3112913</c:v>
                </c:pt>
                <c:pt idx="73">
                  <c:v>5.7854095</c:v>
                </c:pt>
                <c:pt idx="74">
                  <c:v>5.41597725</c:v>
                </c:pt>
                <c:pt idx="75">
                  <c:v>2.1708194</c:v>
                </c:pt>
                <c:pt idx="76">
                  <c:v>80.98831</c:v>
                </c:pt>
                <c:pt idx="77">
                  <c:v>44.99464</c:v>
                </c:pt>
                <c:pt idx="78">
                  <c:v>37.1870975</c:v>
                </c:pt>
                <c:pt idx="79">
                  <c:v>50.2920075</c:v>
                </c:pt>
                <c:pt idx="80">
                  <c:v>5.71915588</c:v>
                </c:pt>
                <c:pt idx="81">
                  <c:v>46.29373</c:v>
                </c:pt>
                <c:pt idx="82">
                  <c:v>119.9599</c:v>
                </c:pt>
                <c:pt idx="83">
                  <c:v>18.07814</c:v>
                </c:pt>
                <c:pt idx="84">
                  <c:v>92.86772</c:v>
                </c:pt>
                <c:pt idx="85">
                  <c:v>18.57575</c:v>
                </c:pt>
                <c:pt idx="86">
                  <c:v>7.952364</c:v>
                </c:pt>
                <c:pt idx="87">
                  <c:v>23.15198</c:v>
                </c:pt>
                <c:pt idx="88">
                  <c:v>1328.378</c:v>
                </c:pt>
                <c:pt idx="89">
                  <c:v>60.06</c:v>
                </c:pt>
                <c:pt idx="90">
                  <c:v>175.0679</c:v>
                </c:pt>
                <c:pt idx="91">
                  <c:v>29.6374025</c:v>
                </c:pt>
                <c:pt idx="92">
                  <c:v>12.3856625</c:v>
                </c:pt>
                <c:pt idx="93">
                  <c:v>10.1309235</c:v>
                </c:pt>
                <c:pt idx="94">
                  <c:v>12.3856618</c:v>
                </c:pt>
                <c:pt idx="95">
                  <c:v>7.954938</c:v>
                </c:pt>
                <c:pt idx="96">
                  <c:v>78.9586113</c:v>
                </c:pt>
                <c:pt idx="97">
                  <c:v>70.1818863</c:v>
                </c:pt>
                <c:pt idx="98">
                  <c:v>260.141125</c:v>
                </c:pt>
                <c:pt idx="99">
                  <c:v>23.1275263</c:v>
                </c:pt>
                <c:pt idx="100">
                  <c:v>178.7382625</c:v>
                </c:pt>
                <c:pt idx="101">
                  <c:v>3.617172</c:v>
                </c:pt>
                <c:pt idx="102">
                  <c:v>813.8061</c:v>
                </c:pt>
                <c:pt idx="103">
                  <c:v>70.87923</c:v>
                </c:pt>
                <c:pt idx="104">
                  <c:v>88.33104</c:v>
                </c:pt>
                <c:pt idx="105">
                  <c:v>25.71867</c:v>
                </c:pt>
                <c:pt idx="106">
                  <c:v>21.10517</c:v>
                </c:pt>
                <c:pt idx="107">
                  <c:v>85.36598</c:v>
                </c:pt>
                <c:pt idx="108">
                  <c:v>36.92936</c:v>
                </c:pt>
                <c:pt idx="109">
                  <c:v>33.252</c:v>
                </c:pt>
                <c:pt idx="110">
                  <c:v>51.42511</c:v>
                </c:pt>
                <c:pt idx="111">
                  <c:v>Radon (Bq/m^3)</c:v>
                </c:pt>
              </c:strCache>
            </c:strRef>
          </c:xVal>
          <c:yVal>
            <c:numRef>
              <c:f>'Hailey''s Data'!$D$3:$D$1074</c:f>
              <c:numCache>
                <c:formatCode>General</c:formatCode>
                <c:ptCount val="1072"/>
                <c:pt idx="0">
                  <c:v>-4</c:v>
                </c:pt>
                <c:pt idx="1">
                  <c:v>-3.9</c:v>
                </c:pt>
                <c:pt idx="2">
                  <c:v>-8.3000000000000007</c:v>
                </c:pt>
                <c:pt idx="3">
                  <c:v>-8.4</c:v>
                </c:pt>
                <c:pt idx="4">
                  <c:v>-6.8</c:v>
                </c:pt>
                <c:pt idx="5">
                  <c:v>-5</c:v>
                </c:pt>
                <c:pt idx="6">
                  <c:v>-3.7</c:v>
                </c:pt>
                <c:pt idx="7">
                  <c:v>-2.6</c:v>
                </c:pt>
                <c:pt idx="8">
                  <c:v>-3.1</c:v>
                </c:pt>
                <c:pt idx="9">
                  <c:v>-3.1</c:v>
                </c:pt>
                <c:pt idx="10">
                  <c:v>-2.5</c:v>
                </c:pt>
                <c:pt idx="11">
                  <c:v>-2.4</c:v>
                </c:pt>
                <c:pt idx="12">
                  <c:v>-2.1</c:v>
                </c:pt>
                <c:pt idx="13">
                  <c:v>-2.1</c:v>
                </c:pt>
                <c:pt idx="14">
                  <c:v>-2.1</c:v>
                </c:pt>
                <c:pt idx="15">
                  <c:v>-2.1</c:v>
                </c:pt>
                <c:pt idx="16">
                  <c:v>-1.3</c:v>
                </c:pt>
                <c:pt idx="17">
                  <c:v>-2.8</c:v>
                </c:pt>
                <c:pt idx="18">
                  <c:v>-2.9</c:v>
                </c:pt>
                <c:pt idx="19">
                  <c:v>-3.1</c:v>
                </c:pt>
                <c:pt idx="20">
                  <c:v>-2.7</c:v>
                </c:pt>
                <c:pt idx="21">
                  <c:v>-2.7</c:v>
                </c:pt>
                <c:pt idx="22">
                  <c:v>-2.2999999999999998</c:v>
                </c:pt>
                <c:pt idx="23">
                  <c:v>-2.2999999999999998</c:v>
                </c:pt>
                <c:pt idx="24">
                  <c:v>-2.1</c:v>
                </c:pt>
                <c:pt idx="25">
                  <c:v>-2.1</c:v>
                </c:pt>
                <c:pt idx="26">
                  <c:v>-2.2000000000000002</c:v>
                </c:pt>
                <c:pt idx="27">
                  <c:v>-2.2000000000000002</c:v>
                </c:pt>
                <c:pt idx="28">
                  <c:v>-1.4</c:v>
                </c:pt>
                <c:pt idx="29">
                  <c:v>-2.6</c:v>
                </c:pt>
                <c:pt idx="30">
                  <c:v>-2.4</c:v>
                </c:pt>
                <c:pt idx="31">
                  <c:v>-2.4</c:v>
                </c:pt>
                <c:pt idx="32">
                  <c:v>-2.4</c:v>
                </c:pt>
                <c:pt idx="33">
                  <c:v>-2.1</c:v>
                </c:pt>
                <c:pt idx="34">
                  <c:v>-2.2999999999999998</c:v>
                </c:pt>
                <c:pt idx="35">
                  <c:v>-2.4</c:v>
                </c:pt>
                <c:pt idx="36">
                  <c:v>-2.6</c:v>
                </c:pt>
                <c:pt idx="37">
                  <c:v>-2.4</c:v>
                </c:pt>
                <c:pt idx="38">
                  <c:v>-2.2999999999999998</c:v>
                </c:pt>
                <c:pt idx="39">
                  <c:v>-3</c:v>
                </c:pt>
                <c:pt idx="40">
                  <c:v>-2.6</c:v>
                </c:pt>
                <c:pt idx="41">
                  <c:v>-0.5</c:v>
                </c:pt>
                <c:pt idx="42">
                  <c:v>-1.3</c:v>
                </c:pt>
                <c:pt idx="43">
                  <c:v>-2.2999999999999998</c:v>
                </c:pt>
                <c:pt idx="44">
                  <c:v>-2.4</c:v>
                </c:pt>
                <c:pt idx="45">
                  <c:v>-2.4</c:v>
                </c:pt>
                <c:pt idx="46">
                  <c:v>-2.2999999999999998</c:v>
                </c:pt>
                <c:pt idx="47">
                  <c:v>-2.2999999999999998</c:v>
                </c:pt>
                <c:pt idx="48">
                  <c:v>-2.1</c:v>
                </c:pt>
                <c:pt idx="49">
                  <c:v>-2.5</c:v>
                </c:pt>
                <c:pt idx="50">
                  <c:v>-2.5</c:v>
                </c:pt>
                <c:pt idx="51">
                  <c:v>-0.3</c:v>
                </c:pt>
                <c:pt idx="52">
                  <c:v>-1.6</c:v>
                </c:pt>
                <c:pt idx="53">
                  <c:v>-2.2999999999999998</c:v>
                </c:pt>
                <c:pt idx="54">
                  <c:v>-2.2999999999999998</c:v>
                </c:pt>
                <c:pt idx="55">
                  <c:v>-2.6</c:v>
                </c:pt>
                <c:pt idx="56">
                  <c:v>-2.4</c:v>
                </c:pt>
                <c:pt idx="57">
                  <c:v>-2.4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-2.2999999999999998</c:v>
                </c:pt>
                <c:pt idx="61">
                  <c:v>-0.3</c:v>
                </c:pt>
                <c:pt idx="62">
                  <c:v>-1.2</c:v>
                </c:pt>
                <c:pt idx="63">
                  <c:v>-2.2999999999999998</c:v>
                </c:pt>
                <c:pt idx="64">
                  <c:v>-2.5</c:v>
                </c:pt>
                <c:pt idx="65">
                  <c:v>-2.8</c:v>
                </c:pt>
                <c:pt idx="66">
                  <c:v>-2.4</c:v>
                </c:pt>
                <c:pt idx="67">
                  <c:v>-2.4</c:v>
                </c:pt>
                <c:pt idx="68">
                  <c:v>-2.4</c:v>
                </c:pt>
                <c:pt idx="69">
                  <c:v>-2.7</c:v>
                </c:pt>
                <c:pt idx="70">
                  <c:v>-2.4</c:v>
                </c:pt>
                <c:pt idx="71">
                  <c:v>-0.4</c:v>
                </c:pt>
                <c:pt idx="72">
                  <c:v>-0.9</c:v>
                </c:pt>
                <c:pt idx="73">
                  <c:v>-2.4</c:v>
                </c:pt>
                <c:pt idx="74">
                  <c:v>-2.4</c:v>
                </c:pt>
                <c:pt idx="75">
                  <c:v>-2.4</c:v>
                </c:pt>
                <c:pt idx="76">
                  <c:v>-2.2000000000000002</c:v>
                </c:pt>
                <c:pt idx="77">
                  <c:v>-2.5</c:v>
                </c:pt>
                <c:pt idx="78">
                  <c:v>-1.8</c:v>
                </c:pt>
                <c:pt idx="79">
                  <c:v>-2.4</c:v>
                </c:pt>
                <c:pt idx="80">
                  <c:v>-2.6</c:v>
                </c:pt>
                <c:pt idx="81">
                  <c:v>-0.4</c:v>
                </c:pt>
                <c:pt idx="82">
                  <c:v>-0.9</c:v>
                </c:pt>
                <c:pt idx="83">
                  <c:v>-2.2999999999999998</c:v>
                </c:pt>
                <c:pt idx="84">
                  <c:v>-2.2000000000000002</c:v>
                </c:pt>
                <c:pt idx="85">
                  <c:v>-2.4</c:v>
                </c:pt>
                <c:pt idx="86">
                  <c:v>-2.4</c:v>
                </c:pt>
                <c:pt idx="87">
                  <c:v>-2.4</c:v>
                </c:pt>
                <c:pt idx="88">
                  <c:v>-2.1</c:v>
                </c:pt>
                <c:pt idx="89">
                  <c:v>-2.6</c:v>
                </c:pt>
                <c:pt idx="90">
                  <c:v>-2.5</c:v>
                </c:pt>
                <c:pt idx="91">
                  <c:v>-3.4</c:v>
                </c:pt>
                <c:pt idx="92">
                  <c:v>-5.6</c:v>
                </c:pt>
                <c:pt idx="93">
                  <c:v>-2.7</c:v>
                </c:pt>
                <c:pt idx="94">
                  <c:v>-2.5</c:v>
                </c:pt>
                <c:pt idx="95">
                  <c:v>-2.5</c:v>
                </c:pt>
                <c:pt idx="96">
                  <c:v>-2.5</c:v>
                </c:pt>
                <c:pt idx="97">
                  <c:v>-3.9</c:v>
                </c:pt>
                <c:pt idx="98">
                  <c:v>-3.8</c:v>
                </c:pt>
                <c:pt idx="99">
                  <c:v>-2.8</c:v>
                </c:pt>
                <c:pt idx="100">
                  <c:v>-2.4</c:v>
                </c:pt>
                <c:pt idx="101">
                  <c:v>-2.4</c:v>
                </c:pt>
                <c:pt idx="102">
                  <c:v>-2.2000000000000002</c:v>
                </c:pt>
                <c:pt idx="103">
                  <c:v>-2.6</c:v>
                </c:pt>
                <c:pt idx="104">
                  <c:v>-2.4</c:v>
                </c:pt>
                <c:pt idx="105">
                  <c:v>-1.6</c:v>
                </c:pt>
                <c:pt idx="106">
                  <c:v>-1.5</c:v>
                </c:pt>
                <c:pt idx="107">
                  <c:v>-1.6</c:v>
                </c:pt>
                <c:pt idx="108">
                  <c:v>-2.4</c:v>
                </c:pt>
                <c:pt idx="109">
                  <c:v>-2.2999999999999998</c:v>
                </c:pt>
                <c:pt idx="110">
                  <c:v>-2.4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9C-41A2-B64C-13F47856EDF8}"/>
            </c:ext>
          </c:extLst>
        </c:ser>
        <c:ser>
          <c:idx val="1"/>
          <c:order val="1"/>
          <c:tx>
            <c:strRef>
              <c:f>'Hailey''s Data'!$E$1:$E$2</c:f>
              <c:strCache>
                <c:ptCount val="2"/>
                <c:pt idx="0">
                  <c:v>-6.7</c:v>
                </c:pt>
                <c:pt idx="1">
                  <c:v>-2.2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strRef>
              <c:f>'Hailey''s Data'!$J$3:$J$1074</c:f>
              <c:strCache>
                <c:ptCount val="112"/>
                <c:pt idx="0">
                  <c:v>9.272717</c:v>
                </c:pt>
                <c:pt idx="1">
                  <c:v>14.0375921</c:v>
                </c:pt>
                <c:pt idx="2">
                  <c:v>68.7726688</c:v>
                </c:pt>
                <c:pt idx="3">
                  <c:v>14.7469771</c:v>
                </c:pt>
                <c:pt idx="4">
                  <c:v>84.999915</c:v>
                </c:pt>
                <c:pt idx="5">
                  <c:v>25.2751738</c:v>
                </c:pt>
                <c:pt idx="6">
                  <c:v>87.3181075</c:v>
                </c:pt>
                <c:pt idx="7">
                  <c:v>240.4219</c:v>
                </c:pt>
                <c:pt idx="8">
                  <c:v>57.9544963</c:v>
                </c:pt>
                <c:pt idx="9">
                  <c:v>279.846025</c:v>
                </c:pt>
                <c:pt idx="10">
                  <c:v>43.2726888</c:v>
                </c:pt>
                <c:pt idx="11">
                  <c:v>80.7161475</c:v>
                </c:pt>
                <c:pt idx="12">
                  <c:v>6.954538</c:v>
                </c:pt>
                <c:pt idx="13">
                  <c:v>11.9319539</c:v>
                </c:pt>
                <c:pt idx="14">
                  <c:v>45.5908713</c:v>
                </c:pt>
                <c:pt idx="15">
                  <c:v>119.344563</c:v>
                </c:pt>
                <c:pt idx="16">
                  <c:v>45.59087</c:v>
                </c:pt>
                <c:pt idx="17">
                  <c:v>3.08000338</c:v>
                </c:pt>
                <c:pt idx="18">
                  <c:v>90.5862638</c:v>
                </c:pt>
                <c:pt idx="19">
                  <c:v>6.953165</c:v>
                </c:pt>
                <c:pt idx="20">
                  <c:v>38.6020175</c:v>
                </c:pt>
                <c:pt idx="21">
                  <c:v>46.0854188</c:v>
                </c:pt>
                <c:pt idx="22">
                  <c:v>21.6061463</c:v>
                </c:pt>
                <c:pt idx="23">
                  <c:v>85.6670013</c:v>
                </c:pt>
                <c:pt idx="24">
                  <c:v>4.6281233</c:v>
                </c:pt>
                <c:pt idx="25">
                  <c:v>13.1672625</c:v>
                </c:pt>
                <c:pt idx="26">
                  <c:v>15.4270778</c:v>
                </c:pt>
                <c:pt idx="27">
                  <c:v>93.63542</c:v>
                </c:pt>
                <c:pt idx="28">
                  <c:v>137.1601475</c:v>
                </c:pt>
                <c:pt idx="29">
                  <c:v>89.6547288</c:v>
                </c:pt>
                <c:pt idx="30">
                  <c:v>34.7301488</c:v>
                </c:pt>
                <c:pt idx="31">
                  <c:v>10.8155153</c:v>
                </c:pt>
                <c:pt idx="32">
                  <c:v>2.893458</c:v>
                </c:pt>
                <c:pt idx="33">
                  <c:v>11.5703063</c:v>
                </c:pt>
                <c:pt idx="34">
                  <c:v>5.7674203</c:v>
                </c:pt>
                <c:pt idx="35">
                  <c:v>90.4090125</c:v>
                </c:pt>
                <c:pt idx="36">
                  <c:v>5.0468135</c:v>
                </c:pt>
                <c:pt idx="37">
                  <c:v>38.5924063</c:v>
                </c:pt>
                <c:pt idx="38">
                  <c:v>7.931806</c:v>
                </c:pt>
                <c:pt idx="40">
                  <c:v>220.9997875</c:v>
                </c:pt>
                <c:pt idx="41">
                  <c:v>3.613311</c:v>
                </c:pt>
                <c:pt idx="42">
                  <c:v>84.3552938</c:v>
                </c:pt>
                <c:pt idx="43">
                  <c:v>10.8476425</c:v>
                </c:pt>
                <c:pt idx="44">
                  <c:v>20.892555</c:v>
                </c:pt>
                <c:pt idx="45">
                  <c:v>2.169528</c:v>
                </c:pt>
                <c:pt idx="46">
                  <c:v>71.1790638</c:v>
                </c:pt>
                <c:pt idx="47">
                  <c:v>22.4030448</c:v>
                </c:pt>
                <c:pt idx="48">
                  <c:v>54.95036</c:v>
                </c:pt>
                <c:pt idx="49">
                  <c:v>5.78540975</c:v>
                </c:pt>
                <c:pt idx="50">
                  <c:v>360.36915</c:v>
                </c:pt>
                <c:pt idx="51">
                  <c:v>7.909755</c:v>
                </c:pt>
                <c:pt idx="52">
                  <c:v>102.93104</c:v>
                </c:pt>
                <c:pt idx="53">
                  <c:v>3.95722</c:v>
                </c:pt>
                <c:pt idx="54">
                  <c:v>13.159764</c:v>
                </c:pt>
                <c:pt idx="55">
                  <c:v>19.7814125</c:v>
                </c:pt>
                <c:pt idx="56">
                  <c:v>36.3746213</c:v>
                </c:pt>
                <c:pt idx="57">
                  <c:v>64.6228575</c:v>
                </c:pt>
                <c:pt idx="58">
                  <c:v>5.418727</c:v>
                </c:pt>
                <c:pt idx="59">
                  <c:v>26.367405</c:v>
                </c:pt>
                <c:pt idx="60">
                  <c:v>215.840238</c:v>
                </c:pt>
                <c:pt idx="61">
                  <c:v>83.0500688</c:v>
                </c:pt>
                <c:pt idx="62">
                  <c:v>129.977955</c:v>
                </c:pt>
                <c:pt idx="63">
                  <c:v>52.6170713</c:v>
                </c:pt>
                <c:pt idx="64">
                  <c:v>10.5525863</c:v>
                </c:pt>
                <c:pt idx="65">
                  <c:v>6.59068</c:v>
                </c:pt>
                <c:pt idx="66">
                  <c:v>112.96968</c:v>
                </c:pt>
                <c:pt idx="67">
                  <c:v>11.866975</c:v>
                </c:pt>
                <c:pt idx="68">
                  <c:v>20.8952978</c:v>
                </c:pt>
                <c:pt idx="69">
                  <c:v>3.95722</c:v>
                </c:pt>
                <c:pt idx="70">
                  <c:v>213.6653</c:v>
                </c:pt>
                <c:pt idx="71">
                  <c:v>8.6755458</c:v>
                </c:pt>
                <c:pt idx="72">
                  <c:v>67.3112913</c:v>
                </c:pt>
                <c:pt idx="73">
                  <c:v>5.7854095</c:v>
                </c:pt>
                <c:pt idx="74">
                  <c:v>5.41597725</c:v>
                </c:pt>
                <c:pt idx="75">
                  <c:v>2.1708194</c:v>
                </c:pt>
                <c:pt idx="76">
                  <c:v>80.98831</c:v>
                </c:pt>
                <c:pt idx="77">
                  <c:v>44.99464</c:v>
                </c:pt>
                <c:pt idx="78">
                  <c:v>37.1870975</c:v>
                </c:pt>
                <c:pt idx="79">
                  <c:v>50.2920075</c:v>
                </c:pt>
                <c:pt idx="80">
                  <c:v>5.71915588</c:v>
                </c:pt>
                <c:pt idx="81">
                  <c:v>46.29373</c:v>
                </c:pt>
                <c:pt idx="82">
                  <c:v>119.9599</c:v>
                </c:pt>
                <c:pt idx="83">
                  <c:v>18.07814</c:v>
                </c:pt>
                <c:pt idx="84">
                  <c:v>92.86772</c:v>
                </c:pt>
                <c:pt idx="85">
                  <c:v>18.57575</c:v>
                </c:pt>
                <c:pt idx="86">
                  <c:v>7.952364</c:v>
                </c:pt>
                <c:pt idx="87">
                  <c:v>23.15198</c:v>
                </c:pt>
                <c:pt idx="88">
                  <c:v>1328.378</c:v>
                </c:pt>
                <c:pt idx="89">
                  <c:v>60.06</c:v>
                </c:pt>
                <c:pt idx="90">
                  <c:v>175.0679</c:v>
                </c:pt>
                <c:pt idx="91">
                  <c:v>29.6374025</c:v>
                </c:pt>
                <c:pt idx="92">
                  <c:v>12.3856625</c:v>
                </c:pt>
                <c:pt idx="93">
                  <c:v>10.1309235</c:v>
                </c:pt>
                <c:pt idx="94">
                  <c:v>12.3856618</c:v>
                </c:pt>
                <c:pt idx="95">
                  <c:v>7.954938</c:v>
                </c:pt>
                <c:pt idx="96">
                  <c:v>78.9586113</c:v>
                </c:pt>
                <c:pt idx="97">
                  <c:v>70.1818863</c:v>
                </c:pt>
                <c:pt idx="98">
                  <c:v>260.141125</c:v>
                </c:pt>
                <c:pt idx="99">
                  <c:v>23.1275263</c:v>
                </c:pt>
                <c:pt idx="100">
                  <c:v>178.7382625</c:v>
                </c:pt>
                <c:pt idx="101">
                  <c:v>3.617172</c:v>
                </c:pt>
                <c:pt idx="102">
                  <c:v>813.8061</c:v>
                </c:pt>
                <c:pt idx="103">
                  <c:v>70.87923</c:v>
                </c:pt>
                <c:pt idx="104">
                  <c:v>88.33104</c:v>
                </c:pt>
                <c:pt idx="105">
                  <c:v>25.71867</c:v>
                </c:pt>
                <c:pt idx="106">
                  <c:v>21.10517</c:v>
                </c:pt>
                <c:pt idx="107">
                  <c:v>85.36598</c:v>
                </c:pt>
                <c:pt idx="108">
                  <c:v>36.92936</c:v>
                </c:pt>
                <c:pt idx="109">
                  <c:v>33.252</c:v>
                </c:pt>
                <c:pt idx="110">
                  <c:v>51.42511</c:v>
                </c:pt>
                <c:pt idx="111">
                  <c:v>Radon (Bq/m^3)</c:v>
                </c:pt>
              </c:strCache>
            </c:strRef>
          </c:xVal>
          <c:yVal>
            <c:numRef>
              <c:f>'Hailey''s Data'!$E$3:$E$1074</c:f>
              <c:numCache>
                <c:formatCode>General</c:formatCode>
                <c:ptCount val="1072"/>
                <c:pt idx="0">
                  <c:v>-21.4</c:v>
                </c:pt>
                <c:pt idx="1">
                  <c:v>-20.6</c:v>
                </c:pt>
                <c:pt idx="2">
                  <c:v>-57.5</c:v>
                </c:pt>
                <c:pt idx="3">
                  <c:v>-58.3</c:v>
                </c:pt>
                <c:pt idx="4">
                  <c:v>-46.3</c:v>
                </c:pt>
                <c:pt idx="5">
                  <c:v>-26.9</c:v>
                </c:pt>
                <c:pt idx="6">
                  <c:v>-14.1</c:v>
                </c:pt>
                <c:pt idx="7">
                  <c:v>-7.6</c:v>
                </c:pt>
                <c:pt idx="8">
                  <c:v>-10.6</c:v>
                </c:pt>
                <c:pt idx="9">
                  <c:v>-10.3</c:v>
                </c:pt>
                <c:pt idx="10">
                  <c:v>-6.5</c:v>
                </c:pt>
                <c:pt idx="11">
                  <c:v>-5.7</c:v>
                </c:pt>
                <c:pt idx="12">
                  <c:v>-4.2</c:v>
                </c:pt>
                <c:pt idx="13">
                  <c:v>-4.0999999999999996</c:v>
                </c:pt>
                <c:pt idx="14">
                  <c:v>-4.4000000000000004</c:v>
                </c:pt>
                <c:pt idx="15">
                  <c:v>-4.2</c:v>
                </c:pt>
                <c:pt idx="16">
                  <c:v>-1.6</c:v>
                </c:pt>
                <c:pt idx="17">
                  <c:v>-6.4</c:v>
                </c:pt>
                <c:pt idx="18">
                  <c:v>-6.7</c:v>
                </c:pt>
                <c:pt idx="19">
                  <c:v>-10.3</c:v>
                </c:pt>
                <c:pt idx="20">
                  <c:v>-6.9</c:v>
                </c:pt>
                <c:pt idx="21">
                  <c:v>-6.9</c:v>
                </c:pt>
                <c:pt idx="22">
                  <c:v>-4.5999999999999996</c:v>
                </c:pt>
                <c:pt idx="23">
                  <c:v>-4.5</c:v>
                </c:pt>
                <c:pt idx="24">
                  <c:v>-3.8</c:v>
                </c:pt>
                <c:pt idx="25">
                  <c:v>-3.6</c:v>
                </c:pt>
                <c:pt idx="26">
                  <c:v>-4.5999999999999996</c:v>
                </c:pt>
                <c:pt idx="27">
                  <c:v>-4.7</c:v>
                </c:pt>
                <c:pt idx="28">
                  <c:v>-2</c:v>
                </c:pt>
                <c:pt idx="29">
                  <c:v>-5.4</c:v>
                </c:pt>
                <c:pt idx="30">
                  <c:v>-4.7</c:v>
                </c:pt>
                <c:pt idx="31">
                  <c:v>-4.4000000000000004</c:v>
                </c:pt>
                <c:pt idx="32">
                  <c:v>-4.5999999999999996</c:v>
                </c:pt>
                <c:pt idx="33">
                  <c:v>-4.5</c:v>
                </c:pt>
                <c:pt idx="34">
                  <c:v>-4.3</c:v>
                </c:pt>
                <c:pt idx="35">
                  <c:v>-4.0999999999999996</c:v>
                </c:pt>
                <c:pt idx="36">
                  <c:v>-0.2</c:v>
                </c:pt>
                <c:pt idx="37">
                  <c:v>-0.4</c:v>
                </c:pt>
                <c:pt idx="38">
                  <c:v>0.3</c:v>
                </c:pt>
                <c:pt idx="39">
                  <c:v>-4.3</c:v>
                </c:pt>
                <c:pt idx="40">
                  <c:v>-3.8</c:v>
                </c:pt>
                <c:pt idx="41">
                  <c:v>0.6</c:v>
                </c:pt>
                <c:pt idx="42">
                  <c:v>-1.9</c:v>
                </c:pt>
                <c:pt idx="43">
                  <c:v>-4.4000000000000004</c:v>
                </c:pt>
                <c:pt idx="44">
                  <c:v>-4.9000000000000004</c:v>
                </c:pt>
                <c:pt idx="45">
                  <c:v>-5.4</c:v>
                </c:pt>
                <c:pt idx="46">
                  <c:v>-4</c:v>
                </c:pt>
                <c:pt idx="47">
                  <c:v>-4.0999999999999996</c:v>
                </c:pt>
                <c:pt idx="48">
                  <c:v>-3.1</c:v>
                </c:pt>
                <c:pt idx="49">
                  <c:v>-4.2</c:v>
                </c:pt>
                <c:pt idx="50">
                  <c:v>-4.2</c:v>
                </c:pt>
                <c:pt idx="51">
                  <c:v>1.2</c:v>
                </c:pt>
                <c:pt idx="52">
                  <c:v>-2.6</c:v>
                </c:pt>
                <c:pt idx="53">
                  <c:v>-4.5999999999999996</c:v>
                </c:pt>
                <c:pt idx="54">
                  <c:v>-4.7</c:v>
                </c:pt>
                <c:pt idx="55">
                  <c:v>-5.3</c:v>
                </c:pt>
                <c:pt idx="56">
                  <c:v>-4.5999999999999996</c:v>
                </c:pt>
                <c:pt idx="57">
                  <c:v>-4.5999999999999996</c:v>
                </c:pt>
                <c:pt idx="58">
                  <c:v>-4.4000000000000004</c:v>
                </c:pt>
                <c:pt idx="59">
                  <c:v>-4.8</c:v>
                </c:pt>
                <c:pt idx="60">
                  <c:v>-4.0999999999999996</c:v>
                </c:pt>
                <c:pt idx="61">
                  <c:v>0.3</c:v>
                </c:pt>
                <c:pt idx="62">
                  <c:v>-2.1</c:v>
                </c:pt>
                <c:pt idx="63">
                  <c:v>-5.3</c:v>
                </c:pt>
                <c:pt idx="64">
                  <c:v>-6</c:v>
                </c:pt>
                <c:pt idx="65">
                  <c:v>-7.5</c:v>
                </c:pt>
                <c:pt idx="66">
                  <c:v>-5.0999999999999996</c:v>
                </c:pt>
                <c:pt idx="67">
                  <c:v>-5.3</c:v>
                </c:pt>
                <c:pt idx="68">
                  <c:v>-5.2</c:v>
                </c:pt>
                <c:pt idx="69">
                  <c:v>-6.6</c:v>
                </c:pt>
                <c:pt idx="70">
                  <c:v>-5.2</c:v>
                </c:pt>
                <c:pt idx="71">
                  <c:v>0.4</c:v>
                </c:pt>
                <c:pt idx="72">
                  <c:v>-1.2</c:v>
                </c:pt>
                <c:pt idx="73">
                  <c:v>-5.5</c:v>
                </c:pt>
                <c:pt idx="74">
                  <c:v>-6.2</c:v>
                </c:pt>
                <c:pt idx="75">
                  <c:v>-5.2</c:v>
                </c:pt>
                <c:pt idx="76">
                  <c:v>-5.5</c:v>
                </c:pt>
                <c:pt idx="77">
                  <c:v>-5.6</c:v>
                </c:pt>
                <c:pt idx="78">
                  <c:v>-2.8</c:v>
                </c:pt>
                <c:pt idx="79">
                  <c:v>-6</c:v>
                </c:pt>
                <c:pt idx="80">
                  <c:v>-6.1</c:v>
                </c:pt>
                <c:pt idx="81">
                  <c:v>0.9</c:v>
                </c:pt>
                <c:pt idx="82">
                  <c:v>-0.7</c:v>
                </c:pt>
                <c:pt idx="83">
                  <c:v>-4.2</c:v>
                </c:pt>
                <c:pt idx="84">
                  <c:v>-3.3</c:v>
                </c:pt>
                <c:pt idx="85">
                  <c:v>-4.5999999999999996</c:v>
                </c:pt>
                <c:pt idx="86">
                  <c:v>-5.2</c:v>
                </c:pt>
                <c:pt idx="87">
                  <c:v>-3.6</c:v>
                </c:pt>
                <c:pt idx="88">
                  <c:v>-3.2</c:v>
                </c:pt>
                <c:pt idx="89">
                  <c:v>-5.6</c:v>
                </c:pt>
                <c:pt idx="90">
                  <c:v>-5.0999999999999996</c:v>
                </c:pt>
                <c:pt idx="91">
                  <c:v>-14.6</c:v>
                </c:pt>
                <c:pt idx="92">
                  <c:v>-31.9</c:v>
                </c:pt>
                <c:pt idx="93">
                  <c:v>-6.7</c:v>
                </c:pt>
                <c:pt idx="94">
                  <c:v>-6.1</c:v>
                </c:pt>
                <c:pt idx="95">
                  <c:v>-5.4</c:v>
                </c:pt>
                <c:pt idx="96">
                  <c:v>-5.4</c:v>
                </c:pt>
                <c:pt idx="97">
                  <c:v>-18.899999999999999</c:v>
                </c:pt>
                <c:pt idx="98">
                  <c:v>-18.399999999999999</c:v>
                </c:pt>
                <c:pt idx="99">
                  <c:v>-6.6</c:v>
                </c:pt>
                <c:pt idx="100">
                  <c:v>-5.0999999999999996</c:v>
                </c:pt>
                <c:pt idx="101">
                  <c:v>-2.5</c:v>
                </c:pt>
                <c:pt idx="102">
                  <c:v>-3.7</c:v>
                </c:pt>
                <c:pt idx="103">
                  <c:v>-5.6</c:v>
                </c:pt>
                <c:pt idx="104">
                  <c:v>-4.8</c:v>
                </c:pt>
                <c:pt idx="105">
                  <c:v>1.3</c:v>
                </c:pt>
                <c:pt idx="106">
                  <c:v>2.1</c:v>
                </c:pt>
                <c:pt idx="107">
                  <c:v>-0.9</c:v>
                </c:pt>
                <c:pt idx="108">
                  <c:v>-3.2</c:v>
                </c:pt>
                <c:pt idx="109">
                  <c:v>-2.5</c:v>
                </c:pt>
                <c:pt idx="110">
                  <c:v>-3.1</c:v>
                </c:pt>
                <c:pt idx="1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9C-41A2-B64C-13F47856E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230206"/>
        <c:axId val="1032177956"/>
      </c:scatterChart>
      <c:valAx>
        <c:axId val="1350230206"/>
        <c:scaling>
          <c:orientation val="minMax"/>
          <c:max val="40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Radon (Bq/m^3)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2177956"/>
        <c:crosses val="autoZero"/>
        <c:crossBetween val="midCat"/>
      </c:valAx>
      <c:valAx>
        <c:axId val="1032177956"/>
        <c:scaling>
          <c:orientation val="minMax"/>
          <c:max val="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Isotope Concentration (per mil)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023020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l-GR" b="0">
                <a:solidFill>
                  <a:srgbClr val="757575"/>
                </a:solidFill>
                <a:latin typeface="+mn-lt"/>
              </a:rPr>
              <a:t>δ18</a:t>
            </a:r>
            <a:r>
              <a:rPr lang="en-US" b="0">
                <a:solidFill>
                  <a:srgbClr val="757575"/>
                </a:solidFill>
                <a:latin typeface="+mn-lt"/>
              </a:rPr>
              <a:t>O (‰), </a:t>
            </a:r>
            <a:r>
              <a:rPr lang="el-GR" b="0">
                <a:solidFill>
                  <a:srgbClr val="757575"/>
                </a:solidFill>
                <a:latin typeface="+mn-lt"/>
              </a:rPr>
              <a:t>δ2</a:t>
            </a:r>
            <a:r>
              <a:rPr lang="en-US" b="0">
                <a:solidFill>
                  <a:srgbClr val="757575"/>
                </a:solidFill>
                <a:latin typeface="+mn-lt"/>
              </a:rPr>
              <a:t>H (‰) and SPC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'Hailey''s Data'!$D$1:$D$2</c:f>
              <c:strCache>
                <c:ptCount val="2"/>
                <c:pt idx="0">
                  <c:v>-2.6</c:v>
                </c:pt>
                <c:pt idx="1">
                  <c:v>-1.9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strRef>
              <c:f>'Hailey''s Data'!$K$3:$K$1074</c:f>
              <c:strCache>
                <c:ptCount val="112"/>
                <c:pt idx="0">
                  <c:v>135.6</c:v>
                </c:pt>
                <c:pt idx="1">
                  <c:v>134.7</c:v>
                </c:pt>
                <c:pt idx="2">
                  <c:v>128.7</c:v>
                </c:pt>
                <c:pt idx="3">
                  <c:v>247.2</c:v>
                </c:pt>
                <c:pt idx="4">
                  <c:v>6085</c:v>
                </c:pt>
                <c:pt idx="5">
                  <c:v>119.9</c:v>
                </c:pt>
                <c:pt idx="6">
                  <c:v>74.5</c:v>
                </c:pt>
                <c:pt idx="7">
                  <c:v>91.4</c:v>
                </c:pt>
                <c:pt idx="8">
                  <c:v>126.8</c:v>
                </c:pt>
                <c:pt idx="9">
                  <c:v>122.4</c:v>
                </c:pt>
                <c:pt idx="10">
                  <c:v>150.8</c:v>
                </c:pt>
                <c:pt idx="11">
                  <c:v>172.4</c:v>
                </c:pt>
                <c:pt idx="12">
                  <c:v>140.3</c:v>
                </c:pt>
                <c:pt idx="13">
                  <c:v>140.8</c:v>
                </c:pt>
                <c:pt idx="14">
                  <c:v>209.4</c:v>
                </c:pt>
                <c:pt idx="15">
                  <c:v>1058</c:v>
                </c:pt>
                <c:pt idx="16">
                  <c:v>17408</c:v>
                </c:pt>
                <c:pt idx="17">
                  <c:v>156</c:v>
                </c:pt>
                <c:pt idx="18">
                  <c:v>128.3</c:v>
                </c:pt>
                <c:pt idx="19">
                  <c:v>112.2</c:v>
                </c:pt>
                <c:pt idx="20">
                  <c:v>135</c:v>
                </c:pt>
                <c:pt idx="21">
                  <c:v>128</c:v>
                </c:pt>
                <c:pt idx="22">
                  <c:v>178</c:v>
                </c:pt>
                <c:pt idx="23">
                  <c:v>170.4</c:v>
                </c:pt>
                <c:pt idx="24">
                  <c:v>109.3</c:v>
                </c:pt>
                <c:pt idx="25">
                  <c:v>173.4</c:v>
                </c:pt>
                <c:pt idx="26">
                  <c:v>214.2</c:v>
                </c:pt>
                <c:pt idx="27">
                  <c:v>649</c:v>
                </c:pt>
                <c:pt idx="28">
                  <c:v>18092</c:v>
                </c:pt>
                <c:pt idx="29">
                  <c:v>106</c:v>
                </c:pt>
                <c:pt idx="30">
                  <c:v>188</c:v>
                </c:pt>
                <c:pt idx="31">
                  <c:v>3130</c:v>
                </c:pt>
                <c:pt idx="32">
                  <c:v>164</c:v>
                </c:pt>
                <c:pt idx="33">
                  <c:v>174.2</c:v>
                </c:pt>
                <c:pt idx="34">
                  <c:v>106.6</c:v>
                </c:pt>
                <c:pt idx="35">
                  <c:v>162</c:v>
                </c:pt>
                <c:pt idx="36">
                  <c:v>59</c:v>
                </c:pt>
                <c:pt idx="37">
                  <c:v>76.1</c:v>
                </c:pt>
                <c:pt idx="38">
                  <c:v>48.2</c:v>
                </c:pt>
                <c:pt idx="39">
                  <c:v>57.5</c:v>
                </c:pt>
                <c:pt idx="40">
                  <c:v>55.7</c:v>
                </c:pt>
                <c:pt idx="41">
                  <c:v>45500</c:v>
                </c:pt>
                <c:pt idx="42">
                  <c:v>21570</c:v>
                </c:pt>
                <c:pt idx="43">
                  <c:v>271.6</c:v>
                </c:pt>
                <c:pt idx="44">
                  <c:v>43.7</c:v>
                </c:pt>
                <c:pt idx="45">
                  <c:v>75</c:v>
                </c:pt>
                <c:pt idx="46">
                  <c:v>157</c:v>
                </c:pt>
                <c:pt idx="47">
                  <c:v>145.8</c:v>
                </c:pt>
                <c:pt idx="48">
                  <c:v>108</c:v>
                </c:pt>
                <c:pt idx="49">
                  <c:v>85.6</c:v>
                </c:pt>
                <c:pt idx="50">
                  <c:v>83</c:v>
                </c:pt>
                <c:pt idx="51">
                  <c:v>44289</c:v>
                </c:pt>
                <c:pt idx="52">
                  <c:v>15600</c:v>
                </c:pt>
                <c:pt idx="53">
                  <c:v>225</c:v>
                </c:pt>
                <c:pt idx="54">
                  <c:v>190.2</c:v>
                </c:pt>
                <c:pt idx="55">
                  <c:v>160</c:v>
                </c:pt>
                <c:pt idx="56">
                  <c:v>171.3</c:v>
                </c:pt>
                <c:pt idx="57">
                  <c:v>174.8</c:v>
                </c:pt>
                <c:pt idx="58">
                  <c:v>183.1</c:v>
                </c:pt>
                <c:pt idx="59">
                  <c:v>103.4</c:v>
                </c:pt>
                <c:pt idx="60">
                  <c:v>153</c:v>
                </c:pt>
                <c:pt idx="61">
                  <c:v>39250</c:v>
                </c:pt>
                <c:pt idx="62">
                  <c:v>25700</c:v>
                </c:pt>
                <c:pt idx="63">
                  <c:v>281.2</c:v>
                </c:pt>
                <c:pt idx="64">
                  <c:v>192.1</c:v>
                </c:pt>
                <c:pt idx="65">
                  <c:v>157.2</c:v>
                </c:pt>
                <c:pt idx="66">
                  <c:v>97.5</c:v>
                </c:pt>
                <c:pt idx="67">
                  <c:v>164.7</c:v>
                </c:pt>
                <c:pt idx="68">
                  <c:v>105.2</c:v>
                </c:pt>
                <c:pt idx="69">
                  <c:v>98.5</c:v>
                </c:pt>
                <c:pt idx="70">
                  <c:v>75.9</c:v>
                </c:pt>
                <c:pt idx="71">
                  <c:v>40844</c:v>
                </c:pt>
                <c:pt idx="72">
                  <c:v>30255</c:v>
                </c:pt>
                <c:pt idx="73">
                  <c:v>314</c:v>
                </c:pt>
                <c:pt idx="74">
                  <c:v>155.6</c:v>
                </c:pt>
                <c:pt idx="75">
                  <c:v>171.3</c:v>
                </c:pt>
                <c:pt idx="76">
                  <c:v>80.1</c:v>
                </c:pt>
                <c:pt idx="77">
                  <c:v>147.5</c:v>
                </c:pt>
                <c:pt idx="78">
                  <c:v>69.3</c:v>
                </c:pt>
                <c:pt idx="79">
                  <c:v>173.4</c:v>
                </c:pt>
                <c:pt idx="80">
                  <c:v>60.6</c:v>
                </c:pt>
                <c:pt idx="81">
                  <c:v>45600</c:v>
                </c:pt>
                <c:pt idx="82">
                  <c:v>26500</c:v>
                </c:pt>
                <c:pt idx="83">
                  <c:v>249.8</c:v>
                </c:pt>
                <c:pt idx="84">
                  <c:v>159.7</c:v>
                </c:pt>
                <c:pt idx="85">
                  <c:v>187</c:v>
                </c:pt>
                <c:pt idx="86">
                  <c:v>184</c:v>
                </c:pt>
                <c:pt idx="87">
                  <c:v>101.4</c:v>
                </c:pt>
                <c:pt idx="88">
                  <c:v>185.5</c:v>
                </c:pt>
                <c:pt idx="89">
                  <c:v>147.5</c:v>
                </c:pt>
                <c:pt idx="90">
                  <c:v>170.2</c:v>
                </c:pt>
                <c:pt idx="91">
                  <c:v>4243</c:v>
                </c:pt>
                <c:pt idx="92">
                  <c:v>122.5</c:v>
                </c:pt>
                <c:pt idx="93">
                  <c:v>196.4</c:v>
                </c:pt>
                <c:pt idx="94">
                  <c:v>179.8</c:v>
                </c:pt>
                <c:pt idx="95">
                  <c:v>180.8</c:v>
                </c:pt>
                <c:pt idx="96">
                  <c:v>171.2</c:v>
                </c:pt>
                <c:pt idx="97">
                  <c:v>125.1</c:v>
                </c:pt>
                <c:pt idx="98">
                  <c:v>127.2</c:v>
                </c:pt>
                <c:pt idx="99">
                  <c:v>86.3</c:v>
                </c:pt>
                <c:pt idx="100">
                  <c:v>165.4</c:v>
                </c:pt>
                <c:pt idx="101">
                  <c:v>117.1</c:v>
                </c:pt>
                <c:pt idx="102">
                  <c:v>190.9</c:v>
                </c:pt>
                <c:pt idx="103">
                  <c:v>158.5</c:v>
                </c:pt>
                <c:pt idx="104">
                  <c:v>102.2</c:v>
                </c:pt>
                <c:pt idx="105">
                  <c:v>168.7</c:v>
                </c:pt>
                <c:pt idx="106">
                  <c:v>165.6</c:v>
                </c:pt>
                <c:pt idx="107">
                  <c:v>18609</c:v>
                </c:pt>
                <c:pt idx="108">
                  <c:v>461.8</c:v>
                </c:pt>
                <c:pt idx="109">
                  <c:v>134.2</c:v>
                </c:pt>
                <c:pt idx="110">
                  <c:v>130.9</c:v>
                </c:pt>
                <c:pt idx="111">
                  <c:v>SPC</c:v>
                </c:pt>
              </c:strCache>
            </c:strRef>
          </c:xVal>
          <c:yVal>
            <c:numRef>
              <c:f>'Hailey''s Data'!$D$3:$D$1074</c:f>
              <c:numCache>
                <c:formatCode>General</c:formatCode>
                <c:ptCount val="1072"/>
                <c:pt idx="0">
                  <c:v>-4</c:v>
                </c:pt>
                <c:pt idx="1">
                  <c:v>-3.9</c:v>
                </c:pt>
                <c:pt idx="2">
                  <c:v>-8.3000000000000007</c:v>
                </c:pt>
                <c:pt idx="3">
                  <c:v>-8.4</c:v>
                </c:pt>
                <c:pt idx="4">
                  <c:v>-6.8</c:v>
                </c:pt>
                <c:pt idx="5">
                  <c:v>-5</c:v>
                </c:pt>
                <c:pt idx="6">
                  <c:v>-3.7</c:v>
                </c:pt>
                <c:pt idx="7">
                  <c:v>-2.6</c:v>
                </c:pt>
                <c:pt idx="8">
                  <c:v>-3.1</c:v>
                </c:pt>
                <c:pt idx="9">
                  <c:v>-3.1</c:v>
                </c:pt>
                <c:pt idx="10">
                  <c:v>-2.5</c:v>
                </c:pt>
                <c:pt idx="11">
                  <c:v>-2.4</c:v>
                </c:pt>
                <c:pt idx="12">
                  <c:v>-2.1</c:v>
                </c:pt>
                <c:pt idx="13">
                  <c:v>-2.1</c:v>
                </c:pt>
                <c:pt idx="14">
                  <c:v>-2.1</c:v>
                </c:pt>
                <c:pt idx="15">
                  <c:v>-2.1</c:v>
                </c:pt>
                <c:pt idx="16">
                  <c:v>-1.3</c:v>
                </c:pt>
                <c:pt idx="17">
                  <c:v>-2.8</c:v>
                </c:pt>
                <c:pt idx="18">
                  <c:v>-2.9</c:v>
                </c:pt>
                <c:pt idx="19">
                  <c:v>-3.1</c:v>
                </c:pt>
                <c:pt idx="20">
                  <c:v>-2.7</c:v>
                </c:pt>
                <c:pt idx="21">
                  <c:v>-2.7</c:v>
                </c:pt>
                <c:pt idx="22">
                  <c:v>-2.2999999999999998</c:v>
                </c:pt>
                <c:pt idx="23">
                  <c:v>-2.2999999999999998</c:v>
                </c:pt>
                <c:pt idx="24">
                  <c:v>-2.1</c:v>
                </c:pt>
                <c:pt idx="25">
                  <c:v>-2.1</c:v>
                </c:pt>
                <c:pt idx="26">
                  <c:v>-2.2000000000000002</c:v>
                </c:pt>
                <c:pt idx="27">
                  <c:v>-2.2000000000000002</c:v>
                </c:pt>
                <c:pt idx="28">
                  <c:v>-1.4</c:v>
                </c:pt>
                <c:pt idx="29">
                  <c:v>-2.6</c:v>
                </c:pt>
                <c:pt idx="30">
                  <c:v>-2.4</c:v>
                </c:pt>
                <c:pt idx="31">
                  <c:v>-2.4</c:v>
                </c:pt>
                <c:pt idx="32">
                  <c:v>-2.4</c:v>
                </c:pt>
                <c:pt idx="33">
                  <c:v>-2.1</c:v>
                </c:pt>
                <c:pt idx="34">
                  <c:v>-2.2999999999999998</c:v>
                </c:pt>
                <c:pt idx="35">
                  <c:v>-2.4</c:v>
                </c:pt>
                <c:pt idx="36">
                  <c:v>-2.6</c:v>
                </c:pt>
                <c:pt idx="37">
                  <c:v>-2.4</c:v>
                </c:pt>
                <c:pt idx="38">
                  <c:v>-2.2999999999999998</c:v>
                </c:pt>
                <c:pt idx="39">
                  <c:v>-3</c:v>
                </c:pt>
                <c:pt idx="40">
                  <c:v>-2.6</c:v>
                </c:pt>
                <c:pt idx="41">
                  <c:v>-0.5</c:v>
                </c:pt>
                <c:pt idx="42">
                  <c:v>-1.3</c:v>
                </c:pt>
                <c:pt idx="43">
                  <c:v>-2.2999999999999998</c:v>
                </c:pt>
                <c:pt idx="44">
                  <c:v>-2.4</c:v>
                </c:pt>
                <c:pt idx="45">
                  <c:v>-2.4</c:v>
                </c:pt>
                <c:pt idx="46">
                  <c:v>-2.2999999999999998</c:v>
                </c:pt>
                <c:pt idx="47">
                  <c:v>-2.2999999999999998</c:v>
                </c:pt>
                <c:pt idx="48">
                  <c:v>-2.1</c:v>
                </c:pt>
                <c:pt idx="49">
                  <c:v>-2.5</c:v>
                </c:pt>
                <c:pt idx="50">
                  <c:v>-2.5</c:v>
                </c:pt>
                <c:pt idx="51">
                  <c:v>-0.3</c:v>
                </c:pt>
                <c:pt idx="52">
                  <c:v>-1.6</c:v>
                </c:pt>
                <c:pt idx="53">
                  <c:v>-2.2999999999999998</c:v>
                </c:pt>
                <c:pt idx="54">
                  <c:v>-2.2999999999999998</c:v>
                </c:pt>
                <c:pt idx="55">
                  <c:v>-2.6</c:v>
                </c:pt>
                <c:pt idx="56">
                  <c:v>-2.4</c:v>
                </c:pt>
                <c:pt idx="57">
                  <c:v>-2.4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-2.2999999999999998</c:v>
                </c:pt>
                <c:pt idx="61">
                  <c:v>-0.3</c:v>
                </c:pt>
                <c:pt idx="62">
                  <c:v>-1.2</c:v>
                </c:pt>
                <c:pt idx="63">
                  <c:v>-2.2999999999999998</c:v>
                </c:pt>
                <c:pt idx="64">
                  <c:v>-2.5</c:v>
                </c:pt>
                <c:pt idx="65">
                  <c:v>-2.8</c:v>
                </c:pt>
                <c:pt idx="66">
                  <c:v>-2.4</c:v>
                </c:pt>
                <c:pt idx="67">
                  <c:v>-2.4</c:v>
                </c:pt>
                <c:pt idx="68">
                  <c:v>-2.4</c:v>
                </c:pt>
                <c:pt idx="69">
                  <c:v>-2.7</c:v>
                </c:pt>
                <c:pt idx="70">
                  <c:v>-2.4</c:v>
                </c:pt>
                <c:pt idx="71">
                  <c:v>-0.4</c:v>
                </c:pt>
                <c:pt idx="72">
                  <c:v>-0.9</c:v>
                </c:pt>
                <c:pt idx="73">
                  <c:v>-2.4</c:v>
                </c:pt>
                <c:pt idx="74">
                  <c:v>-2.4</c:v>
                </c:pt>
                <c:pt idx="75">
                  <c:v>-2.4</c:v>
                </c:pt>
                <c:pt idx="76">
                  <c:v>-2.2000000000000002</c:v>
                </c:pt>
                <c:pt idx="77">
                  <c:v>-2.5</c:v>
                </c:pt>
                <c:pt idx="78">
                  <c:v>-1.8</c:v>
                </c:pt>
                <c:pt idx="79">
                  <c:v>-2.4</c:v>
                </c:pt>
                <c:pt idx="80">
                  <c:v>-2.6</c:v>
                </c:pt>
                <c:pt idx="81">
                  <c:v>-0.4</c:v>
                </c:pt>
                <c:pt idx="82">
                  <c:v>-0.9</c:v>
                </c:pt>
                <c:pt idx="83">
                  <c:v>-2.2999999999999998</c:v>
                </c:pt>
                <c:pt idx="84">
                  <c:v>-2.2000000000000002</c:v>
                </c:pt>
                <c:pt idx="85">
                  <c:v>-2.4</c:v>
                </c:pt>
                <c:pt idx="86">
                  <c:v>-2.4</c:v>
                </c:pt>
                <c:pt idx="87">
                  <c:v>-2.4</c:v>
                </c:pt>
                <c:pt idx="88">
                  <c:v>-2.1</c:v>
                </c:pt>
                <c:pt idx="89">
                  <c:v>-2.6</c:v>
                </c:pt>
                <c:pt idx="90">
                  <c:v>-2.5</c:v>
                </c:pt>
                <c:pt idx="91">
                  <c:v>-3.4</c:v>
                </c:pt>
                <c:pt idx="92">
                  <c:v>-5.6</c:v>
                </c:pt>
                <c:pt idx="93">
                  <c:v>-2.7</c:v>
                </c:pt>
                <c:pt idx="94">
                  <c:v>-2.5</c:v>
                </c:pt>
                <c:pt idx="95">
                  <c:v>-2.5</c:v>
                </c:pt>
                <c:pt idx="96">
                  <c:v>-2.5</c:v>
                </c:pt>
                <c:pt idx="97">
                  <c:v>-3.9</c:v>
                </c:pt>
                <c:pt idx="98">
                  <c:v>-3.8</c:v>
                </c:pt>
                <c:pt idx="99">
                  <c:v>-2.8</c:v>
                </c:pt>
                <c:pt idx="100">
                  <c:v>-2.4</c:v>
                </c:pt>
                <c:pt idx="101">
                  <c:v>-2.4</c:v>
                </c:pt>
                <c:pt idx="102">
                  <c:v>-2.2000000000000002</c:v>
                </c:pt>
                <c:pt idx="103">
                  <c:v>-2.6</c:v>
                </c:pt>
                <c:pt idx="104">
                  <c:v>-2.4</c:v>
                </c:pt>
                <c:pt idx="105">
                  <c:v>-1.6</c:v>
                </c:pt>
                <c:pt idx="106">
                  <c:v>-1.5</c:v>
                </c:pt>
                <c:pt idx="107">
                  <c:v>-1.6</c:v>
                </c:pt>
                <c:pt idx="108">
                  <c:v>-2.4</c:v>
                </c:pt>
                <c:pt idx="109">
                  <c:v>-2.2999999999999998</c:v>
                </c:pt>
                <c:pt idx="110">
                  <c:v>-2.4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A8-430C-B690-74FC7283977D}"/>
            </c:ext>
          </c:extLst>
        </c:ser>
        <c:ser>
          <c:idx val="1"/>
          <c:order val="1"/>
          <c:tx>
            <c:strRef>
              <c:f>'Hailey''s Data'!$E$1:$E$2</c:f>
              <c:strCache>
                <c:ptCount val="2"/>
                <c:pt idx="0">
                  <c:v>-6.7</c:v>
                </c:pt>
                <c:pt idx="1">
                  <c:v>-2.2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strRef>
              <c:f>'Hailey''s Data'!$K$3:$K$1074</c:f>
              <c:strCache>
                <c:ptCount val="112"/>
                <c:pt idx="0">
                  <c:v>135.6</c:v>
                </c:pt>
                <c:pt idx="1">
                  <c:v>134.7</c:v>
                </c:pt>
                <c:pt idx="2">
                  <c:v>128.7</c:v>
                </c:pt>
                <c:pt idx="3">
                  <c:v>247.2</c:v>
                </c:pt>
                <c:pt idx="4">
                  <c:v>6085</c:v>
                </c:pt>
                <c:pt idx="5">
                  <c:v>119.9</c:v>
                </c:pt>
                <c:pt idx="6">
                  <c:v>74.5</c:v>
                </c:pt>
                <c:pt idx="7">
                  <c:v>91.4</c:v>
                </c:pt>
                <c:pt idx="8">
                  <c:v>126.8</c:v>
                </c:pt>
                <c:pt idx="9">
                  <c:v>122.4</c:v>
                </c:pt>
                <c:pt idx="10">
                  <c:v>150.8</c:v>
                </c:pt>
                <c:pt idx="11">
                  <c:v>172.4</c:v>
                </c:pt>
                <c:pt idx="12">
                  <c:v>140.3</c:v>
                </c:pt>
                <c:pt idx="13">
                  <c:v>140.8</c:v>
                </c:pt>
                <c:pt idx="14">
                  <c:v>209.4</c:v>
                </c:pt>
                <c:pt idx="15">
                  <c:v>1058</c:v>
                </c:pt>
                <c:pt idx="16">
                  <c:v>17408</c:v>
                </c:pt>
                <c:pt idx="17">
                  <c:v>156</c:v>
                </c:pt>
                <c:pt idx="18">
                  <c:v>128.3</c:v>
                </c:pt>
                <c:pt idx="19">
                  <c:v>112.2</c:v>
                </c:pt>
                <c:pt idx="20">
                  <c:v>135</c:v>
                </c:pt>
                <c:pt idx="21">
                  <c:v>128</c:v>
                </c:pt>
                <c:pt idx="22">
                  <c:v>178</c:v>
                </c:pt>
                <c:pt idx="23">
                  <c:v>170.4</c:v>
                </c:pt>
                <c:pt idx="24">
                  <c:v>109.3</c:v>
                </c:pt>
                <c:pt idx="25">
                  <c:v>173.4</c:v>
                </c:pt>
                <c:pt idx="26">
                  <c:v>214.2</c:v>
                </c:pt>
                <c:pt idx="27">
                  <c:v>649</c:v>
                </c:pt>
                <c:pt idx="28">
                  <c:v>18092</c:v>
                </c:pt>
                <c:pt idx="29">
                  <c:v>106</c:v>
                </c:pt>
                <c:pt idx="30">
                  <c:v>188</c:v>
                </c:pt>
                <c:pt idx="31">
                  <c:v>3130</c:v>
                </c:pt>
                <c:pt idx="32">
                  <c:v>164</c:v>
                </c:pt>
                <c:pt idx="33">
                  <c:v>174.2</c:v>
                </c:pt>
                <c:pt idx="34">
                  <c:v>106.6</c:v>
                </c:pt>
                <c:pt idx="35">
                  <c:v>162</c:v>
                </c:pt>
                <c:pt idx="36">
                  <c:v>59</c:v>
                </c:pt>
                <c:pt idx="37">
                  <c:v>76.1</c:v>
                </c:pt>
                <c:pt idx="38">
                  <c:v>48.2</c:v>
                </c:pt>
                <c:pt idx="39">
                  <c:v>57.5</c:v>
                </c:pt>
                <c:pt idx="40">
                  <c:v>55.7</c:v>
                </c:pt>
                <c:pt idx="41">
                  <c:v>45500</c:v>
                </c:pt>
                <c:pt idx="42">
                  <c:v>21570</c:v>
                </c:pt>
                <c:pt idx="43">
                  <c:v>271.6</c:v>
                </c:pt>
                <c:pt idx="44">
                  <c:v>43.7</c:v>
                </c:pt>
                <c:pt idx="45">
                  <c:v>75</c:v>
                </c:pt>
                <c:pt idx="46">
                  <c:v>157</c:v>
                </c:pt>
                <c:pt idx="47">
                  <c:v>145.8</c:v>
                </c:pt>
                <c:pt idx="48">
                  <c:v>108</c:v>
                </c:pt>
                <c:pt idx="49">
                  <c:v>85.6</c:v>
                </c:pt>
                <c:pt idx="50">
                  <c:v>83</c:v>
                </c:pt>
                <c:pt idx="51">
                  <c:v>44289</c:v>
                </c:pt>
                <c:pt idx="52">
                  <c:v>15600</c:v>
                </c:pt>
                <c:pt idx="53">
                  <c:v>225</c:v>
                </c:pt>
                <c:pt idx="54">
                  <c:v>190.2</c:v>
                </c:pt>
                <c:pt idx="55">
                  <c:v>160</c:v>
                </c:pt>
                <c:pt idx="56">
                  <c:v>171.3</c:v>
                </c:pt>
                <c:pt idx="57">
                  <c:v>174.8</c:v>
                </c:pt>
                <c:pt idx="58">
                  <c:v>183.1</c:v>
                </c:pt>
                <c:pt idx="59">
                  <c:v>103.4</c:v>
                </c:pt>
                <c:pt idx="60">
                  <c:v>153</c:v>
                </c:pt>
                <c:pt idx="61">
                  <c:v>39250</c:v>
                </c:pt>
                <c:pt idx="62">
                  <c:v>25700</c:v>
                </c:pt>
                <c:pt idx="63">
                  <c:v>281.2</c:v>
                </c:pt>
                <c:pt idx="64">
                  <c:v>192.1</c:v>
                </c:pt>
                <c:pt idx="65">
                  <c:v>157.2</c:v>
                </c:pt>
                <c:pt idx="66">
                  <c:v>97.5</c:v>
                </c:pt>
                <c:pt idx="67">
                  <c:v>164.7</c:v>
                </c:pt>
                <c:pt idx="68">
                  <c:v>105.2</c:v>
                </c:pt>
                <c:pt idx="69">
                  <c:v>98.5</c:v>
                </c:pt>
                <c:pt idx="70">
                  <c:v>75.9</c:v>
                </c:pt>
                <c:pt idx="71">
                  <c:v>40844</c:v>
                </c:pt>
                <c:pt idx="72">
                  <c:v>30255</c:v>
                </c:pt>
                <c:pt idx="73">
                  <c:v>314</c:v>
                </c:pt>
                <c:pt idx="74">
                  <c:v>155.6</c:v>
                </c:pt>
                <c:pt idx="75">
                  <c:v>171.3</c:v>
                </c:pt>
                <c:pt idx="76">
                  <c:v>80.1</c:v>
                </c:pt>
                <c:pt idx="77">
                  <c:v>147.5</c:v>
                </c:pt>
                <c:pt idx="78">
                  <c:v>69.3</c:v>
                </c:pt>
                <c:pt idx="79">
                  <c:v>173.4</c:v>
                </c:pt>
                <c:pt idx="80">
                  <c:v>60.6</c:v>
                </c:pt>
                <c:pt idx="81">
                  <c:v>45600</c:v>
                </c:pt>
                <c:pt idx="82">
                  <c:v>26500</c:v>
                </c:pt>
                <c:pt idx="83">
                  <c:v>249.8</c:v>
                </c:pt>
                <c:pt idx="84">
                  <c:v>159.7</c:v>
                </c:pt>
                <c:pt idx="85">
                  <c:v>187</c:v>
                </c:pt>
                <c:pt idx="86">
                  <c:v>184</c:v>
                </c:pt>
                <c:pt idx="87">
                  <c:v>101.4</c:v>
                </c:pt>
                <c:pt idx="88">
                  <c:v>185.5</c:v>
                </c:pt>
                <c:pt idx="89">
                  <c:v>147.5</c:v>
                </c:pt>
                <c:pt idx="90">
                  <c:v>170.2</c:v>
                </c:pt>
                <c:pt idx="91">
                  <c:v>4243</c:v>
                </c:pt>
                <c:pt idx="92">
                  <c:v>122.5</c:v>
                </c:pt>
                <c:pt idx="93">
                  <c:v>196.4</c:v>
                </c:pt>
                <c:pt idx="94">
                  <c:v>179.8</c:v>
                </c:pt>
                <c:pt idx="95">
                  <c:v>180.8</c:v>
                </c:pt>
                <c:pt idx="96">
                  <c:v>171.2</c:v>
                </c:pt>
                <c:pt idx="97">
                  <c:v>125.1</c:v>
                </c:pt>
                <c:pt idx="98">
                  <c:v>127.2</c:v>
                </c:pt>
                <c:pt idx="99">
                  <c:v>86.3</c:v>
                </c:pt>
                <c:pt idx="100">
                  <c:v>165.4</c:v>
                </c:pt>
                <c:pt idx="101">
                  <c:v>117.1</c:v>
                </c:pt>
                <c:pt idx="102">
                  <c:v>190.9</c:v>
                </c:pt>
                <c:pt idx="103">
                  <c:v>158.5</c:v>
                </c:pt>
                <c:pt idx="104">
                  <c:v>102.2</c:v>
                </c:pt>
                <c:pt idx="105">
                  <c:v>168.7</c:v>
                </c:pt>
                <c:pt idx="106">
                  <c:v>165.6</c:v>
                </c:pt>
                <c:pt idx="107">
                  <c:v>18609</c:v>
                </c:pt>
                <c:pt idx="108">
                  <c:v>461.8</c:v>
                </c:pt>
                <c:pt idx="109">
                  <c:v>134.2</c:v>
                </c:pt>
                <c:pt idx="110">
                  <c:v>130.9</c:v>
                </c:pt>
                <c:pt idx="111">
                  <c:v>SPC</c:v>
                </c:pt>
              </c:strCache>
            </c:strRef>
          </c:xVal>
          <c:yVal>
            <c:numRef>
              <c:f>'Hailey''s Data'!$E$3:$E$1074</c:f>
              <c:numCache>
                <c:formatCode>General</c:formatCode>
                <c:ptCount val="1072"/>
                <c:pt idx="0">
                  <c:v>-21.4</c:v>
                </c:pt>
                <c:pt idx="1">
                  <c:v>-20.6</c:v>
                </c:pt>
                <c:pt idx="2">
                  <c:v>-57.5</c:v>
                </c:pt>
                <c:pt idx="3">
                  <c:v>-58.3</c:v>
                </c:pt>
                <c:pt idx="4">
                  <c:v>-46.3</c:v>
                </c:pt>
                <c:pt idx="5">
                  <c:v>-26.9</c:v>
                </c:pt>
                <c:pt idx="6">
                  <c:v>-14.1</c:v>
                </c:pt>
                <c:pt idx="7">
                  <c:v>-7.6</c:v>
                </c:pt>
                <c:pt idx="8">
                  <c:v>-10.6</c:v>
                </c:pt>
                <c:pt idx="9">
                  <c:v>-10.3</c:v>
                </c:pt>
                <c:pt idx="10">
                  <c:v>-6.5</c:v>
                </c:pt>
                <c:pt idx="11">
                  <c:v>-5.7</c:v>
                </c:pt>
                <c:pt idx="12">
                  <c:v>-4.2</c:v>
                </c:pt>
                <c:pt idx="13">
                  <c:v>-4.0999999999999996</c:v>
                </c:pt>
                <c:pt idx="14">
                  <c:v>-4.4000000000000004</c:v>
                </c:pt>
                <c:pt idx="15">
                  <c:v>-4.2</c:v>
                </c:pt>
                <c:pt idx="16">
                  <c:v>-1.6</c:v>
                </c:pt>
                <c:pt idx="17">
                  <c:v>-6.4</c:v>
                </c:pt>
                <c:pt idx="18">
                  <c:v>-6.7</c:v>
                </c:pt>
                <c:pt idx="19">
                  <c:v>-10.3</c:v>
                </c:pt>
                <c:pt idx="20">
                  <c:v>-6.9</c:v>
                </c:pt>
                <c:pt idx="21">
                  <c:v>-6.9</c:v>
                </c:pt>
                <c:pt idx="22">
                  <c:v>-4.5999999999999996</c:v>
                </c:pt>
                <c:pt idx="23">
                  <c:v>-4.5</c:v>
                </c:pt>
                <c:pt idx="24">
                  <c:v>-3.8</c:v>
                </c:pt>
                <c:pt idx="25">
                  <c:v>-3.6</c:v>
                </c:pt>
                <c:pt idx="26">
                  <c:v>-4.5999999999999996</c:v>
                </c:pt>
                <c:pt idx="27">
                  <c:v>-4.7</c:v>
                </c:pt>
                <c:pt idx="28">
                  <c:v>-2</c:v>
                </c:pt>
                <c:pt idx="29">
                  <c:v>-5.4</c:v>
                </c:pt>
                <c:pt idx="30">
                  <c:v>-4.7</c:v>
                </c:pt>
                <c:pt idx="31">
                  <c:v>-4.4000000000000004</c:v>
                </c:pt>
                <c:pt idx="32">
                  <c:v>-4.5999999999999996</c:v>
                </c:pt>
                <c:pt idx="33">
                  <c:v>-4.5</c:v>
                </c:pt>
                <c:pt idx="34">
                  <c:v>-4.3</c:v>
                </c:pt>
                <c:pt idx="35">
                  <c:v>-4.0999999999999996</c:v>
                </c:pt>
                <c:pt idx="36">
                  <c:v>-0.2</c:v>
                </c:pt>
                <c:pt idx="37">
                  <c:v>-0.4</c:v>
                </c:pt>
                <c:pt idx="38">
                  <c:v>0.3</c:v>
                </c:pt>
                <c:pt idx="39">
                  <c:v>-4.3</c:v>
                </c:pt>
                <c:pt idx="40">
                  <c:v>-3.8</c:v>
                </c:pt>
                <c:pt idx="41">
                  <c:v>0.6</c:v>
                </c:pt>
                <c:pt idx="42">
                  <c:v>-1.9</c:v>
                </c:pt>
                <c:pt idx="43">
                  <c:v>-4.4000000000000004</c:v>
                </c:pt>
                <c:pt idx="44">
                  <c:v>-4.9000000000000004</c:v>
                </c:pt>
                <c:pt idx="45">
                  <c:v>-5.4</c:v>
                </c:pt>
                <c:pt idx="46">
                  <c:v>-4</c:v>
                </c:pt>
                <c:pt idx="47">
                  <c:v>-4.0999999999999996</c:v>
                </c:pt>
                <c:pt idx="48">
                  <c:v>-3.1</c:v>
                </c:pt>
                <c:pt idx="49">
                  <c:v>-4.2</c:v>
                </c:pt>
                <c:pt idx="50">
                  <c:v>-4.2</c:v>
                </c:pt>
                <c:pt idx="51">
                  <c:v>1.2</c:v>
                </c:pt>
                <c:pt idx="52">
                  <c:v>-2.6</c:v>
                </c:pt>
                <c:pt idx="53">
                  <c:v>-4.5999999999999996</c:v>
                </c:pt>
                <c:pt idx="54">
                  <c:v>-4.7</c:v>
                </c:pt>
                <c:pt idx="55">
                  <c:v>-5.3</c:v>
                </c:pt>
                <c:pt idx="56">
                  <c:v>-4.5999999999999996</c:v>
                </c:pt>
                <c:pt idx="57">
                  <c:v>-4.5999999999999996</c:v>
                </c:pt>
                <c:pt idx="58">
                  <c:v>-4.4000000000000004</c:v>
                </c:pt>
                <c:pt idx="59">
                  <c:v>-4.8</c:v>
                </c:pt>
                <c:pt idx="60">
                  <c:v>-4.0999999999999996</c:v>
                </c:pt>
                <c:pt idx="61">
                  <c:v>0.3</c:v>
                </c:pt>
                <c:pt idx="62">
                  <c:v>-2.1</c:v>
                </c:pt>
                <c:pt idx="63">
                  <c:v>-5.3</c:v>
                </c:pt>
                <c:pt idx="64">
                  <c:v>-6</c:v>
                </c:pt>
                <c:pt idx="65">
                  <c:v>-7.5</c:v>
                </c:pt>
                <c:pt idx="66">
                  <c:v>-5.0999999999999996</c:v>
                </c:pt>
                <c:pt idx="67">
                  <c:v>-5.3</c:v>
                </c:pt>
                <c:pt idx="68">
                  <c:v>-5.2</c:v>
                </c:pt>
                <c:pt idx="69">
                  <c:v>-6.6</c:v>
                </c:pt>
                <c:pt idx="70">
                  <c:v>-5.2</c:v>
                </c:pt>
                <c:pt idx="71">
                  <c:v>0.4</c:v>
                </c:pt>
                <c:pt idx="72">
                  <c:v>-1.2</c:v>
                </c:pt>
                <c:pt idx="73">
                  <c:v>-5.5</c:v>
                </c:pt>
                <c:pt idx="74">
                  <c:v>-6.2</c:v>
                </c:pt>
                <c:pt idx="75">
                  <c:v>-5.2</c:v>
                </c:pt>
                <c:pt idx="76">
                  <c:v>-5.5</c:v>
                </c:pt>
                <c:pt idx="77">
                  <c:v>-5.6</c:v>
                </c:pt>
                <c:pt idx="78">
                  <c:v>-2.8</c:v>
                </c:pt>
                <c:pt idx="79">
                  <c:v>-6</c:v>
                </c:pt>
                <c:pt idx="80">
                  <c:v>-6.1</c:v>
                </c:pt>
                <c:pt idx="81">
                  <c:v>0.9</c:v>
                </c:pt>
                <c:pt idx="82">
                  <c:v>-0.7</c:v>
                </c:pt>
                <c:pt idx="83">
                  <c:v>-4.2</c:v>
                </c:pt>
                <c:pt idx="84">
                  <c:v>-3.3</c:v>
                </c:pt>
                <c:pt idx="85">
                  <c:v>-4.5999999999999996</c:v>
                </c:pt>
                <c:pt idx="86">
                  <c:v>-5.2</c:v>
                </c:pt>
                <c:pt idx="87">
                  <c:v>-3.6</c:v>
                </c:pt>
                <c:pt idx="88">
                  <c:v>-3.2</c:v>
                </c:pt>
                <c:pt idx="89">
                  <c:v>-5.6</c:v>
                </c:pt>
                <c:pt idx="90">
                  <c:v>-5.0999999999999996</c:v>
                </c:pt>
                <c:pt idx="91">
                  <c:v>-14.6</c:v>
                </c:pt>
                <c:pt idx="92">
                  <c:v>-31.9</c:v>
                </c:pt>
                <c:pt idx="93">
                  <c:v>-6.7</c:v>
                </c:pt>
                <c:pt idx="94">
                  <c:v>-6.1</c:v>
                </c:pt>
                <c:pt idx="95">
                  <c:v>-5.4</c:v>
                </c:pt>
                <c:pt idx="96">
                  <c:v>-5.4</c:v>
                </c:pt>
                <c:pt idx="97">
                  <c:v>-18.899999999999999</c:v>
                </c:pt>
                <c:pt idx="98">
                  <c:v>-18.399999999999999</c:v>
                </c:pt>
                <c:pt idx="99">
                  <c:v>-6.6</c:v>
                </c:pt>
                <c:pt idx="100">
                  <c:v>-5.0999999999999996</c:v>
                </c:pt>
                <c:pt idx="101">
                  <c:v>-2.5</c:v>
                </c:pt>
                <c:pt idx="102">
                  <c:v>-3.7</c:v>
                </c:pt>
                <c:pt idx="103">
                  <c:v>-5.6</c:v>
                </c:pt>
                <c:pt idx="104">
                  <c:v>-4.8</c:v>
                </c:pt>
                <c:pt idx="105">
                  <c:v>1.3</c:v>
                </c:pt>
                <c:pt idx="106">
                  <c:v>2.1</c:v>
                </c:pt>
                <c:pt idx="107">
                  <c:v>-0.9</c:v>
                </c:pt>
                <c:pt idx="108">
                  <c:v>-3.2</c:v>
                </c:pt>
                <c:pt idx="109">
                  <c:v>-2.5</c:v>
                </c:pt>
                <c:pt idx="110">
                  <c:v>-3.1</c:v>
                </c:pt>
                <c:pt idx="1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A8-430C-B690-74FC72839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352614"/>
        <c:axId val="1517738873"/>
      </c:scatterChart>
      <c:valAx>
        <c:axId val="5493526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7738873"/>
        <c:crosses val="autoZero"/>
        <c:crossBetween val="midCat"/>
      </c:valAx>
      <c:valAx>
        <c:axId val="1517738873"/>
        <c:scaling>
          <c:orientation val="minMax"/>
          <c:min val="-2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Isotope Concentration (per mil)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935261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l-GR" b="0">
                <a:solidFill>
                  <a:srgbClr val="757575"/>
                </a:solidFill>
                <a:latin typeface="+mn-lt"/>
              </a:rPr>
              <a:t>δ18</a:t>
            </a:r>
            <a:r>
              <a:rPr lang="en-US" b="0">
                <a:solidFill>
                  <a:srgbClr val="757575"/>
                </a:solidFill>
                <a:latin typeface="+mn-lt"/>
              </a:rPr>
              <a:t>O (‰), </a:t>
            </a:r>
            <a:r>
              <a:rPr lang="el-GR" b="0">
                <a:solidFill>
                  <a:srgbClr val="757575"/>
                </a:solidFill>
                <a:latin typeface="+mn-lt"/>
              </a:rPr>
              <a:t>δ2</a:t>
            </a:r>
            <a:r>
              <a:rPr lang="en-US" b="0">
                <a:solidFill>
                  <a:srgbClr val="757575"/>
                </a:solidFill>
                <a:latin typeface="+mn-lt"/>
              </a:rPr>
              <a:t>H (‰) and Discharge (m³/s)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'Hailey''s Data'!$D$2</c:f>
              <c:strCache>
                <c:ptCount val="1"/>
                <c:pt idx="0">
                  <c:v>-1.9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'Hailey''s Data'!$O$4:$O$115</c:f>
              <c:strCache>
                <c:ptCount val="112"/>
                <c:pt idx="0">
                  <c:v>0.4105936</c:v>
                </c:pt>
                <c:pt idx="1">
                  <c:v>0.62580128</c:v>
                </c:pt>
                <c:pt idx="2">
                  <c:v>0.54368256</c:v>
                </c:pt>
                <c:pt idx="3">
                  <c:v>0.50403904</c:v>
                </c:pt>
                <c:pt idx="4">
                  <c:v>0.48421728</c:v>
                </c:pt>
                <c:pt idx="5">
                  <c:v>0.42758368</c:v>
                </c:pt>
                <c:pt idx="6">
                  <c:v>0.43324704</c:v>
                </c:pt>
                <c:pt idx="7">
                  <c:v>0.39926688</c:v>
                </c:pt>
                <c:pt idx="8">
                  <c:v>0.41908864</c:v>
                </c:pt>
                <c:pt idx="9">
                  <c:v>0.58332608</c:v>
                </c:pt>
                <c:pt idx="10">
                  <c:v>0.63429632</c:v>
                </c:pt>
                <c:pt idx="11">
                  <c:v>0.59182112</c:v>
                </c:pt>
                <c:pt idx="12">
                  <c:v>0.59182112</c:v>
                </c:pt>
                <c:pt idx="13">
                  <c:v>0.3398016</c:v>
                </c:pt>
                <c:pt idx="14">
                  <c:v>0.33130656</c:v>
                </c:pt>
                <c:pt idx="15">
                  <c:v>0.3822768</c:v>
                </c:pt>
                <c:pt idx="16">
                  <c:v>1.08453344</c:v>
                </c:pt>
                <c:pt idx="17">
                  <c:v>0.95710784</c:v>
                </c:pt>
                <c:pt idx="18">
                  <c:v>0.86932576</c:v>
                </c:pt>
                <c:pt idx="19">
                  <c:v>0.63146464</c:v>
                </c:pt>
                <c:pt idx="20">
                  <c:v>0.56916768</c:v>
                </c:pt>
                <c:pt idx="21">
                  <c:v>0.241259136</c:v>
                </c:pt>
                <c:pt idx="22">
                  <c:v>0.241259136</c:v>
                </c:pt>
                <c:pt idx="23">
                  <c:v>0.263629408</c:v>
                </c:pt>
                <c:pt idx="24">
                  <c:v>0.263629408</c:v>
                </c:pt>
                <c:pt idx="25">
                  <c:v>0.127991936</c:v>
                </c:pt>
                <c:pt idx="26">
                  <c:v>0.127991936</c:v>
                </c:pt>
                <c:pt idx="27">
                  <c:v>0.127991936</c:v>
                </c:pt>
                <c:pt idx="28">
                  <c:v>0.429282688</c:v>
                </c:pt>
                <c:pt idx="29">
                  <c:v>0.32281152</c:v>
                </c:pt>
                <c:pt idx="30">
                  <c:v>0.31431648</c:v>
                </c:pt>
                <c:pt idx="31">
                  <c:v>0.186041376</c:v>
                </c:pt>
                <c:pt idx="32">
                  <c:v>0.20671264</c:v>
                </c:pt>
                <c:pt idx="33">
                  <c:v>0.19963344</c:v>
                </c:pt>
                <c:pt idx="34">
                  <c:v>0.186041376</c:v>
                </c:pt>
                <c:pt idx="35">
                  <c:v>0.70225664</c:v>
                </c:pt>
                <c:pt idx="36">
                  <c:v>2.01332448</c:v>
                </c:pt>
                <c:pt idx="37">
                  <c:v>1.34221632</c:v>
                </c:pt>
                <c:pt idx="38">
                  <c:v>0.089481088</c:v>
                </c:pt>
                <c:pt idx="39">
                  <c:v>0.3114848</c:v>
                </c:pt>
                <c:pt idx="40">
                  <c:v>0.105055328</c:v>
                </c:pt>
                <c:pt idx="41">
                  <c:v>0.105055328</c:v>
                </c:pt>
                <c:pt idx="42">
                  <c:v>0.139035488</c:v>
                </c:pt>
                <c:pt idx="43">
                  <c:v>0.133372128</c:v>
                </c:pt>
                <c:pt idx="44">
                  <c:v>0.144982016</c:v>
                </c:pt>
                <c:pt idx="45">
                  <c:v>0.144982016</c:v>
                </c:pt>
                <c:pt idx="46">
                  <c:v>0.269575936</c:v>
                </c:pt>
                <c:pt idx="47">
                  <c:v>0.28599968</c:v>
                </c:pt>
                <c:pt idx="48">
                  <c:v>0.246922496</c:v>
                </c:pt>
                <c:pt idx="49">
                  <c:v>0.239560128</c:v>
                </c:pt>
                <c:pt idx="50">
                  <c:v>0.089481088</c:v>
                </c:pt>
                <c:pt idx="51">
                  <c:v>0.089481088</c:v>
                </c:pt>
                <c:pt idx="52">
                  <c:v>0.089481088</c:v>
                </c:pt>
                <c:pt idx="53">
                  <c:v>0.089481088</c:v>
                </c:pt>
                <c:pt idx="54">
                  <c:v>0.084384064</c:v>
                </c:pt>
                <c:pt idx="55">
                  <c:v>0.084384064</c:v>
                </c:pt>
                <c:pt idx="56">
                  <c:v>0.084384064</c:v>
                </c:pt>
                <c:pt idx="57">
                  <c:v>0.084384064</c:v>
                </c:pt>
                <c:pt idx="58">
                  <c:v>0.105055328</c:v>
                </c:pt>
                <c:pt idx="59">
                  <c:v>0.099675136</c:v>
                </c:pt>
                <c:pt idx="60">
                  <c:v>0.110152352</c:v>
                </c:pt>
                <c:pt idx="61">
                  <c:v>0.18547504</c:v>
                </c:pt>
                <c:pt idx="62">
                  <c:v>0.18547504</c:v>
                </c:pt>
                <c:pt idx="63">
                  <c:v>0.14299984</c:v>
                </c:pt>
                <c:pt idx="64">
                  <c:v>0.085233568</c:v>
                </c:pt>
                <c:pt idx="65">
                  <c:v>0.09486128</c:v>
                </c:pt>
                <c:pt idx="66">
                  <c:v>0.09486128</c:v>
                </c:pt>
                <c:pt idx="67">
                  <c:v>0.09486128</c:v>
                </c:pt>
                <c:pt idx="68">
                  <c:v>0.18547504</c:v>
                </c:pt>
                <c:pt idx="69">
                  <c:v>0.179245344</c:v>
                </c:pt>
                <c:pt idx="70">
                  <c:v>0.12600976</c:v>
                </c:pt>
                <c:pt idx="71">
                  <c:v>0.12600976</c:v>
                </c:pt>
                <c:pt idx="72">
                  <c:v>0.13167312</c:v>
                </c:pt>
                <c:pt idx="73">
                  <c:v>0.12600976</c:v>
                </c:pt>
                <c:pt idx="74">
                  <c:v>0.13167312</c:v>
                </c:pt>
                <c:pt idx="75">
                  <c:v>0.085233568</c:v>
                </c:pt>
                <c:pt idx="76">
                  <c:v>0.13167312</c:v>
                </c:pt>
                <c:pt idx="77">
                  <c:v>0.10477216</c:v>
                </c:pt>
                <c:pt idx="78">
                  <c:v>0.13167312</c:v>
                </c:pt>
                <c:pt idx="79">
                  <c:v>0.26051456</c:v>
                </c:pt>
                <c:pt idx="80">
                  <c:v>0.080419712</c:v>
                </c:pt>
                <c:pt idx="81">
                  <c:v>0.080419712</c:v>
                </c:pt>
                <c:pt idx="82">
                  <c:v>0.080419712</c:v>
                </c:pt>
                <c:pt idx="83">
                  <c:v>0.075889024</c:v>
                </c:pt>
                <c:pt idx="84">
                  <c:v>0.058615776</c:v>
                </c:pt>
                <c:pt idx="85">
                  <c:v>0.058615776</c:v>
                </c:pt>
                <c:pt idx="86">
                  <c:v>0.058615776</c:v>
                </c:pt>
                <c:pt idx="87">
                  <c:v>0.058615776</c:v>
                </c:pt>
                <c:pt idx="88">
                  <c:v>0.058615776</c:v>
                </c:pt>
                <c:pt idx="89">
                  <c:v>0.058615776</c:v>
                </c:pt>
                <c:pt idx="90">
                  <c:v>4.1342528</c:v>
                </c:pt>
                <c:pt idx="91">
                  <c:v>3.5396</c:v>
                </c:pt>
                <c:pt idx="92">
                  <c:v>0.3398016</c:v>
                </c:pt>
                <c:pt idx="93">
                  <c:v>0.3398016</c:v>
                </c:pt>
                <c:pt idx="94">
                  <c:v>0.3398016</c:v>
                </c:pt>
                <c:pt idx="95">
                  <c:v>0.33130656</c:v>
                </c:pt>
                <c:pt idx="96">
                  <c:v>0.54651424</c:v>
                </c:pt>
                <c:pt idx="97">
                  <c:v>0.68809824</c:v>
                </c:pt>
                <c:pt idx="98">
                  <c:v>0.233330432</c:v>
                </c:pt>
                <c:pt idx="99">
                  <c:v>0.20671264</c:v>
                </c:pt>
                <c:pt idx="100">
                  <c:v>0.058898944</c:v>
                </c:pt>
                <c:pt idx="101">
                  <c:v>0.058898944</c:v>
                </c:pt>
                <c:pt idx="102">
                  <c:v>0.058898944</c:v>
                </c:pt>
                <c:pt idx="103">
                  <c:v>0.055784096</c:v>
                </c:pt>
                <c:pt idx="104">
                  <c:v>0.076172192</c:v>
                </c:pt>
                <c:pt idx="105">
                  <c:v>0.076172192</c:v>
                </c:pt>
                <c:pt idx="106">
                  <c:v>0.30865312</c:v>
                </c:pt>
                <c:pt idx="107">
                  <c:v>0.29166304</c:v>
                </c:pt>
                <c:pt idx="108">
                  <c:v>0.283168</c:v>
                </c:pt>
                <c:pt idx="109">
                  <c:v>0.2690096</c:v>
                </c:pt>
                <c:pt idx="110">
                  <c:v>0.0283168</c:v>
                </c:pt>
                <c:pt idx="111">
                  <c:v>Discharge (m³/s)</c:v>
                </c:pt>
              </c:strCache>
            </c:strRef>
          </c:xVal>
          <c:yVal>
            <c:numRef>
              <c:f>'Hailey''s Data'!$D$3:$D$115</c:f>
              <c:numCache>
                <c:formatCode>General</c:formatCode>
                <c:ptCount val="113"/>
                <c:pt idx="0">
                  <c:v>-4</c:v>
                </c:pt>
                <c:pt idx="1">
                  <c:v>-3.9</c:v>
                </c:pt>
                <c:pt idx="2">
                  <c:v>-8.3000000000000007</c:v>
                </c:pt>
                <c:pt idx="3">
                  <c:v>-8.4</c:v>
                </c:pt>
                <c:pt idx="4">
                  <c:v>-6.8</c:v>
                </c:pt>
                <c:pt idx="5">
                  <c:v>-5</c:v>
                </c:pt>
                <c:pt idx="6">
                  <c:v>-3.7</c:v>
                </c:pt>
                <c:pt idx="7">
                  <c:v>-2.6</c:v>
                </c:pt>
                <c:pt idx="8">
                  <c:v>-3.1</c:v>
                </c:pt>
                <c:pt idx="9">
                  <c:v>-3.1</c:v>
                </c:pt>
                <c:pt idx="10">
                  <c:v>-2.5</c:v>
                </c:pt>
                <c:pt idx="11">
                  <c:v>-2.4</c:v>
                </c:pt>
                <c:pt idx="12">
                  <c:v>-2.1</c:v>
                </c:pt>
                <c:pt idx="13">
                  <c:v>-2.1</c:v>
                </c:pt>
                <c:pt idx="14">
                  <c:v>-2.1</c:v>
                </c:pt>
                <c:pt idx="15">
                  <c:v>-2.1</c:v>
                </c:pt>
                <c:pt idx="16">
                  <c:v>-1.3</c:v>
                </c:pt>
                <c:pt idx="17">
                  <c:v>-2.8</c:v>
                </c:pt>
                <c:pt idx="18">
                  <c:v>-2.9</c:v>
                </c:pt>
                <c:pt idx="19">
                  <c:v>-3.1</c:v>
                </c:pt>
                <c:pt idx="20">
                  <c:v>-2.7</c:v>
                </c:pt>
                <c:pt idx="21">
                  <c:v>-2.7</c:v>
                </c:pt>
                <c:pt idx="22">
                  <c:v>-2.2999999999999998</c:v>
                </c:pt>
                <c:pt idx="23">
                  <c:v>-2.2999999999999998</c:v>
                </c:pt>
                <c:pt idx="24">
                  <c:v>-2.1</c:v>
                </c:pt>
                <c:pt idx="25">
                  <c:v>-2.1</c:v>
                </c:pt>
                <c:pt idx="26">
                  <c:v>-2.2000000000000002</c:v>
                </c:pt>
                <c:pt idx="27">
                  <c:v>-2.2000000000000002</c:v>
                </c:pt>
                <c:pt idx="28">
                  <c:v>-1.4</c:v>
                </c:pt>
                <c:pt idx="29">
                  <c:v>-2.6</c:v>
                </c:pt>
                <c:pt idx="30">
                  <c:v>-2.4</c:v>
                </c:pt>
                <c:pt idx="31">
                  <c:v>-2.4</c:v>
                </c:pt>
                <c:pt idx="32">
                  <c:v>-2.4</c:v>
                </c:pt>
                <c:pt idx="33">
                  <c:v>-2.1</c:v>
                </c:pt>
                <c:pt idx="34">
                  <c:v>-2.2999999999999998</c:v>
                </c:pt>
                <c:pt idx="35">
                  <c:v>-2.4</c:v>
                </c:pt>
                <c:pt idx="36">
                  <c:v>-2.6</c:v>
                </c:pt>
                <c:pt idx="37">
                  <c:v>-2.4</c:v>
                </c:pt>
                <c:pt idx="38">
                  <c:v>-2.2999999999999998</c:v>
                </c:pt>
                <c:pt idx="39">
                  <c:v>-3</c:v>
                </c:pt>
                <c:pt idx="40">
                  <c:v>-2.6</c:v>
                </c:pt>
                <c:pt idx="41">
                  <c:v>-0.5</c:v>
                </c:pt>
                <c:pt idx="42">
                  <c:v>-1.3</c:v>
                </c:pt>
                <c:pt idx="43">
                  <c:v>-2.2999999999999998</c:v>
                </c:pt>
                <c:pt idx="44">
                  <c:v>-2.4</c:v>
                </c:pt>
                <c:pt idx="45">
                  <c:v>-2.4</c:v>
                </c:pt>
                <c:pt idx="46">
                  <c:v>-2.2999999999999998</c:v>
                </c:pt>
                <c:pt idx="47">
                  <c:v>-2.2999999999999998</c:v>
                </c:pt>
                <c:pt idx="48">
                  <c:v>-2.1</c:v>
                </c:pt>
                <c:pt idx="49">
                  <c:v>-2.5</c:v>
                </c:pt>
                <c:pt idx="50">
                  <c:v>-2.5</c:v>
                </c:pt>
                <c:pt idx="51">
                  <c:v>-0.3</c:v>
                </c:pt>
                <c:pt idx="52">
                  <c:v>-1.6</c:v>
                </c:pt>
                <c:pt idx="53">
                  <c:v>-2.2999999999999998</c:v>
                </c:pt>
                <c:pt idx="54">
                  <c:v>-2.2999999999999998</c:v>
                </c:pt>
                <c:pt idx="55">
                  <c:v>-2.6</c:v>
                </c:pt>
                <c:pt idx="56">
                  <c:v>-2.4</c:v>
                </c:pt>
                <c:pt idx="57">
                  <c:v>-2.4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-2.2999999999999998</c:v>
                </c:pt>
                <c:pt idx="61">
                  <c:v>-0.3</c:v>
                </c:pt>
                <c:pt idx="62">
                  <c:v>-1.2</c:v>
                </c:pt>
                <c:pt idx="63">
                  <c:v>-2.2999999999999998</c:v>
                </c:pt>
                <c:pt idx="64">
                  <c:v>-2.5</c:v>
                </c:pt>
                <c:pt idx="65">
                  <c:v>-2.8</c:v>
                </c:pt>
                <c:pt idx="66">
                  <c:v>-2.4</c:v>
                </c:pt>
                <c:pt idx="67">
                  <c:v>-2.4</c:v>
                </c:pt>
                <c:pt idx="68">
                  <c:v>-2.4</c:v>
                </c:pt>
                <c:pt idx="69">
                  <c:v>-2.7</c:v>
                </c:pt>
                <c:pt idx="70">
                  <c:v>-2.4</c:v>
                </c:pt>
                <c:pt idx="71">
                  <c:v>-0.4</c:v>
                </c:pt>
                <c:pt idx="72">
                  <c:v>-0.9</c:v>
                </c:pt>
                <c:pt idx="73">
                  <c:v>-2.4</c:v>
                </c:pt>
                <c:pt idx="74">
                  <c:v>-2.4</c:v>
                </c:pt>
                <c:pt idx="75">
                  <c:v>-2.4</c:v>
                </c:pt>
                <c:pt idx="76">
                  <c:v>-2.2000000000000002</c:v>
                </c:pt>
                <c:pt idx="77">
                  <c:v>-2.5</c:v>
                </c:pt>
                <c:pt idx="78">
                  <c:v>-1.8</c:v>
                </c:pt>
                <c:pt idx="79">
                  <c:v>-2.4</c:v>
                </c:pt>
                <c:pt idx="80">
                  <c:v>-2.6</c:v>
                </c:pt>
                <c:pt idx="81">
                  <c:v>-0.4</c:v>
                </c:pt>
                <c:pt idx="82">
                  <c:v>-0.9</c:v>
                </c:pt>
                <c:pt idx="83">
                  <c:v>-2.2999999999999998</c:v>
                </c:pt>
                <c:pt idx="84">
                  <c:v>-2.2000000000000002</c:v>
                </c:pt>
                <c:pt idx="85">
                  <c:v>-2.4</c:v>
                </c:pt>
                <c:pt idx="86">
                  <c:v>-2.4</c:v>
                </c:pt>
                <c:pt idx="87">
                  <c:v>-2.4</c:v>
                </c:pt>
                <c:pt idx="88">
                  <c:v>-2.1</c:v>
                </c:pt>
                <c:pt idx="89">
                  <c:v>-2.6</c:v>
                </c:pt>
                <c:pt idx="90">
                  <c:v>-2.5</c:v>
                </c:pt>
                <c:pt idx="91">
                  <c:v>-3.4</c:v>
                </c:pt>
                <c:pt idx="92">
                  <c:v>-5.6</c:v>
                </c:pt>
                <c:pt idx="93">
                  <c:v>-2.7</c:v>
                </c:pt>
                <c:pt idx="94">
                  <c:v>-2.5</c:v>
                </c:pt>
                <c:pt idx="95">
                  <c:v>-2.5</c:v>
                </c:pt>
                <c:pt idx="96">
                  <c:v>-2.5</c:v>
                </c:pt>
                <c:pt idx="97">
                  <c:v>-3.9</c:v>
                </c:pt>
                <c:pt idx="98">
                  <c:v>-3.8</c:v>
                </c:pt>
                <c:pt idx="99">
                  <c:v>-2.8</c:v>
                </c:pt>
                <c:pt idx="100">
                  <c:v>-2.4</c:v>
                </c:pt>
                <c:pt idx="101">
                  <c:v>-2.4</c:v>
                </c:pt>
                <c:pt idx="102">
                  <c:v>-2.2000000000000002</c:v>
                </c:pt>
                <c:pt idx="103">
                  <c:v>-2.6</c:v>
                </c:pt>
                <c:pt idx="104">
                  <c:v>-2.4</c:v>
                </c:pt>
                <c:pt idx="105">
                  <c:v>-1.6</c:v>
                </c:pt>
                <c:pt idx="106">
                  <c:v>-1.5</c:v>
                </c:pt>
                <c:pt idx="107">
                  <c:v>-1.6</c:v>
                </c:pt>
                <c:pt idx="108">
                  <c:v>-2.4</c:v>
                </c:pt>
                <c:pt idx="109">
                  <c:v>-2.2999999999999998</c:v>
                </c:pt>
                <c:pt idx="110">
                  <c:v>-2.4</c:v>
                </c:pt>
                <c:pt idx="111">
                  <c:v>0</c:v>
                </c:pt>
                <c:pt idx="1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C7-4D0A-8616-3D27D11BFBBE}"/>
            </c:ext>
          </c:extLst>
        </c:ser>
        <c:ser>
          <c:idx val="1"/>
          <c:order val="1"/>
          <c:tx>
            <c:strRef>
              <c:f>'Hailey''s Data'!$E$2</c:f>
              <c:strCache>
                <c:ptCount val="1"/>
                <c:pt idx="0">
                  <c:v>-2.2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strRef>
              <c:f>'Hailey''s Data'!$O$4:$O$115</c:f>
              <c:strCache>
                <c:ptCount val="112"/>
                <c:pt idx="0">
                  <c:v>0.4105936</c:v>
                </c:pt>
                <c:pt idx="1">
                  <c:v>0.62580128</c:v>
                </c:pt>
                <c:pt idx="2">
                  <c:v>0.54368256</c:v>
                </c:pt>
                <c:pt idx="3">
                  <c:v>0.50403904</c:v>
                </c:pt>
                <c:pt idx="4">
                  <c:v>0.48421728</c:v>
                </c:pt>
                <c:pt idx="5">
                  <c:v>0.42758368</c:v>
                </c:pt>
                <c:pt idx="6">
                  <c:v>0.43324704</c:v>
                </c:pt>
                <c:pt idx="7">
                  <c:v>0.39926688</c:v>
                </c:pt>
                <c:pt idx="8">
                  <c:v>0.41908864</c:v>
                </c:pt>
                <c:pt idx="9">
                  <c:v>0.58332608</c:v>
                </c:pt>
                <c:pt idx="10">
                  <c:v>0.63429632</c:v>
                </c:pt>
                <c:pt idx="11">
                  <c:v>0.59182112</c:v>
                </c:pt>
                <c:pt idx="12">
                  <c:v>0.59182112</c:v>
                </c:pt>
                <c:pt idx="13">
                  <c:v>0.3398016</c:v>
                </c:pt>
                <c:pt idx="14">
                  <c:v>0.33130656</c:v>
                </c:pt>
                <c:pt idx="15">
                  <c:v>0.3822768</c:v>
                </c:pt>
                <c:pt idx="16">
                  <c:v>1.08453344</c:v>
                </c:pt>
                <c:pt idx="17">
                  <c:v>0.95710784</c:v>
                </c:pt>
                <c:pt idx="18">
                  <c:v>0.86932576</c:v>
                </c:pt>
                <c:pt idx="19">
                  <c:v>0.63146464</c:v>
                </c:pt>
                <c:pt idx="20">
                  <c:v>0.56916768</c:v>
                </c:pt>
                <c:pt idx="21">
                  <c:v>0.241259136</c:v>
                </c:pt>
                <c:pt idx="22">
                  <c:v>0.241259136</c:v>
                </c:pt>
                <c:pt idx="23">
                  <c:v>0.263629408</c:v>
                </c:pt>
                <c:pt idx="24">
                  <c:v>0.263629408</c:v>
                </c:pt>
                <c:pt idx="25">
                  <c:v>0.127991936</c:v>
                </c:pt>
                <c:pt idx="26">
                  <c:v>0.127991936</c:v>
                </c:pt>
                <c:pt idx="27">
                  <c:v>0.127991936</c:v>
                </c:pt>
                <c:pt idx="28">
                  <c:v>0.429282688</c:v>
                </c:pt>
                <c:pt idx="29">
                  <c:v>0.32281152</c:v>
                </c:pt>
                <c:pt idx="30">
                  <c:v>0.31431648</c:v>
                </c:pt>
                <c:pt idx="31">
                  <c:v>0.186041376</c:v>
                </c:pt>
                <c:pt idx="32">
                  <c:v>0.20671264</c:v>
                </c:pt>
                <c:pt idx="33">
                  <c:v>0.19963344</c:v>
                </c:pt>
                <c:pt idx="34">
                  <c:v>0.186041376</c:v>
                </c:pt>
                <c:pt idx="35">
                  <c:v>0.70225664</c:v>
                </c:pt>
                <c:pt idx="36">
                  <c:v>2.01332448</c:v>
                </c:pt>
                <c:pt idx="37">
                  <c:v>1.34221632</c:v>
                </c:pt>
                <c:pt idx="38">
                  <c:v>0.089481088</c:v>
                </c:pt>
                <c:pt idx="39">
                  <c:v>0.3114848</c:v>
                </c:pt>
                <c:pt idx="40">
                  <c:v>0.105055328</c:v>
                </c:pt>
                <c:pt idx="41">
                  <c:v>0.105055328</c:v>
                </c:pt>
                <c:pt idx="42">
                  <c:v>0.139035488</c:v>
                </c:pt>
                <c:pt idx="43">
                  <c:v>0.133372128</c:v>
                </c:pt>
                <c:pt idx="44">
                  <c:v>0.144982016</c:v>
                </c:pt>
                <c:pt idx="45">
                  <c:v>0.144982016</c:v>
                </c:pt>
                <c:pt idx="46">
                  <c:v>0.269575936</c:v>
                </c:pt>
                <c:pt idx="47">
                  <c:v>0.28599968</c:v>
                </c:pt>
                <c:pt idx="48">
                  <c:v>0.246922496</c:v>
                </c:pt>
                <c:pt idx="49">
                  <c:v>0.239560128</c:v>
                </c:pt>
                <c:pt idx="50">
                  <c:v>0.089481088</c:v>
                </c:pt>
                <c:pt idx="51">
                  <c:v>0.089481088</c:v>
                </c:pt>
                <c:pt idx="52">
                  <c:v>0.089481088</c:v>
                </c:pt>
                <c:pt idx="53">
                  <c:v>0.089481088</c:v>
                </c:pt>
                <c:pt idx="54">
                  <c:v>0.084384064</c:v>
                </c:pt>
                <c:pt idx="55">
                  <c:v>0.084384064</c:v>
                </c:pt>
                <c:pt idx="56">
                  <c:v>0.084384064</c:v>
                </c:pt>
                <c:pt idx="57">
                  <c:v>0.084384064</c:v>
                </c:pt>
                <c:pt idx="58">
                  <c:v>0.105055328</c:v>
                </c:pt>
                <c:pt idx="59">
                  <c:v>0.099675136</c:v>
                </c:pt>
                <c:pt idx="60">
                  <c:v>0.110152352</c:v>
                </c:pt>
                <c:pt idx="61">
                  <c:v>0.18547504</c:v>
                </c:pt>
                <c:pt idx="62">
                  <c:v>0.18547504</c:v>
                </c:pt>
                <c:pt idx="63">
                  <c:v>0.14299984</c:v>
                </c:pt>
                <c:pt idx="64">
                  <c:v>0.085233568</c:v>
                </c:pt>
                <c:pt idx="65">
                  <c:v>0.09486128</c:v>
                </c:pt>
                <c:pt idx="66">
                  <c:v>0.09486128</c:v>
                </c:pt>
                <c:pt idx="67">
                  <c:v>0.09486128</c:v>
                </c:pt>
                <c:pt idx="68">
                  <c:v>0.18547504</c:v>
                </c:pt>
                <c:pt idx="69">
                  <c:v>0.179245344</c:v>
                </c:pt>
                <c:pt idx="70">
                  <c:v>0.12600976</c:v>
                </c:pt>
                <c:pt idx="71">
                  <c:v>0.12600976</c:v>
                </c:pt>
                <c:pt idx="72">
                  <c:v>0.13167312</c:v>
                </c:pt>
                <c:pt idx="73">
                  <c:v>0.12600976</c:v>
                </c:pt>
                <c:pt idx="74">
                  <c:v>0.13167312</c:v>
                </c:pt>
                <c:pt idx="75">
                  <c:v>0.085233568</c:v>
                </c:pt>
                <c:pt idx="76">
                  <c:v>0.13167312</c:v>
                </c:pt>
                <c:pt idx="77">
                  <c:v>0.10477216</c:v>
                </c:pt>
                <c:pt idx="78">
                  <c:v>0.13167312</c:v>
                </c:pt>
                <c:pt idx="79">
                  <c:v>0.26051456</c:v>
                </c:pt>
                <c:pt idx="80">
                  <c:v>0.080419712</c:v>
                </c:pt>
                <c:pt idx="81">
                  <c:v>0.080419712</c:v>
                </c:pt>
                <c:pt idx="82">
                  <c:v>0.080419712</c:v>
                </c:pt>
                <c:pt idx="83">
                  <c:v>0.075889024</c:v>
                </c:pt>
                <c:pt idx="84">
                  <c:v>0.058615776</c:v>
                </c:pt>
                <c:pt idx="85">
                  <c:v>0.058615776</c:v>
                </c:pt>
                <c:pt idx="86">
                  <c:v>0.058615776</c:v>
                </c:pt>
                <c:pt idx="87">
                  <c:v>0.058615776</c:v>
                </c:pt>
                <c:pt idx="88">
                  <c:v>0.058615776</c:v>
                </c:pt>
                <c:pt idx="89">
                  <c:v>0.058615776</c:v>
                </c:pt>
                <c:pt idx="90">
                  <c:v>4.1342528</c:v>
                </c:pt>
                <c:pt idx="91">
                  <c:v>3.5396</c:v>
                </c:pt>
                <c:pt idx="92">
                  <c:v>0.3398016</c:v>
                </c:pt>
                <c:pt idx="93">
                  <c:v>0.3398016</c:v>
                </c:pt>
                <c:pt idx="94">
                  <c:v>0.3398016</c:v>
                </c:pt>
                <c:pt idx="95">
                  <c:v>0.33130656</c:v>
                </c:pt>
                <c:pt idx="96">
                  <c:v>0.54651424</c:v>
                </c:pt>
                <c:pt idx="97">
                  <c:v>0.68809824</c:v>
                </c:pt>
                <c:pt idx="98">
                  <c:v>0.233330432</c:v>
                </c:pt>
                <c:pt idx="99">
                  <c:v>0.20671264</c:v>
                </c:pt>
                <c:pt idx="100">
                  <c:v>0.058898944</c:v>
                </c:pt>
                <c:pt idx="101">
                  <c:v>0.058898944</c:v>
                </c:pt>
                <c:pt idx="102">
                  <c:v>0.058898944</c:v>
                </c:pt>
                <c:pt idx="103">
                  <c:v>0.055784096</c:v>
                </c:pt>
                <c:pt idx="104">
                  <c:v>0.076172192</c:v>
                </c:pt>
                <c:pt idx="105">
                  <c:v>0.076172192</c:v>
                </c:pt>
                <c:pt idx="106">
                  <c:v>0.30865312</c:v>
                </c:pt>
                <c:pt idx="107">
                  <c:v>0.29166304</c:v>
                </c:pt>
                <c:pt idx="108">
                  <c:v>0.283168</c:v>
                </c:pt>
                <c:pt idx="109">
                  <c:v>0.2690096</c:v>
                </c:pt>
                <c:pt idx="110">
                  <c:v>0.0283168</c:v>
                </c:pt>
                <c:pt idx="111">
                  <c:v>Discharge (m³/s)</c:v>
                </c:pt>
              </c:strCache>
            </c:strRef>
          </c:xVal>
          <c:yVal>
            <c:numRef>
              <c:f>'Hailey''s Data'!$E$3:$E$115</c:f>
              <c:numCache>
                <c:formatCode>General</c:formatCode>
                <c:ptCount val="113"/>
                <c:pt idx="0">
                  <c:v>-21.4</c:v>
                </c:pt>
                <c:pt idx="1">
                  <c:v>-20.6</c:v>
                </c:pt>
                <c:pt idx="2">
                  <c:v>-57.5</c:v>
                </c:pt>
                <c:pt idx="3">
                  <c:v>-58.3</c:v>
                </c:pt>
                <c:pt idx="4">
                  <c:v>-46.3</c:v>
                </c:pt>
                <c:pt idx="5">
                  <c:v>-26.9</c:v>
                </c:pt>
                <c:pt idx="6">
                  <c:v>-14.1</c:v>
                </c:pt>
                <c:pt idx="7">
                  <c:v>-7.6</c:v>
                </c:pt>
                <c:pt idx="8">
                  <c:v>-10.6</c:v>
                </c:pt>
                <c:pt idx="9">
                  <c:v>-10.3</c:v>
                </c:pt>
                <c:pt idx="10">
                  <c:v>-6.5</c:v>
                </c:pt>
                <c:pt idx="11">
                  <c:v>-5.7</c:v>
                </c:pt>
                <c:pt idx="12">
                  <c:v>-4.2</c:v>
                </c:pt>
                <c:pt idx="13">
                  <c:v>-4.0999999999999996</c:v>
                </c:pt>
                <c:pt idx="14">
                  <c:v>-4.4000000000000004</c:v>
                </c:pt>
                <c:pt idx="15">
                  <c:v>-4.2</c:v>
                </c:pt>
                <c:pt idx="16">
                  <c:v>-1.6</c:v>
                </c:pt>
                <c:pt idx="17">
                  <c:v>-6.4</c:v>
                </c:pt>
                <c:pt idx="18">
                  <c:v>-6.7</c:v>
                </c:pt>
                <c:pt idx="19">
                  <c:v>-10.3</c:v>
                </c:pt>
                <c:pt idx="20">
                  <c:v>-6.9</c:v>
                </c:pt>
                <c:pt idx="21">
                  <c:v>-6.9</c:v>
                </c:pt>
                <c:pt idx="22">
                  <c:v>-4.5999999999999996</c:v>
                </c:pt>
                <c:pt idx="23">
                  <c:v>-4.5</c:v>
                </c:pt>
                <c:pt idx="24">
                  <c:v>-3.8</c:v>
                </c:pt>
                <c:pt idx="25">
                  <c:v>-3.6</c:v>
                </c:pt>
                <c:pt idx="26">
                  <c:v>-4.5999999999999996</c:v>
                </c:pt>
                <c:pt idx="27">
                  <c:v>-4.7</c:v>
                </c:pt>
                <c:pt idx="28">
                  <c:v>-2</c:v>
                </c:pt>
                <c:pt idx="29">
                  <c:v>-5.4</c:v>
                </c:pt>
                <c:pt idx="30">
                  <c:v>-4.7</c:v>
                </c:pt>
                <c:pt idx="31">
                  <c:v>-4.4000000000000004</c:v>
                </c:pt>
                <c:pt idx="32">
                  <c:v>-4.5999999999999996</c:v>
                </c:pt>
                <c:pt idx="33">
                  <c:v>-4.5</c:v>
                </c:pt>
                <c:pt idx="34">
                  <c:v>-4.3</c:v>
                </c:pt>
                <c:pt idx="35">
                  <c:v>-4.0999999999999996</c:v>
                </c:pt>
                <c:pt idx="36">
                  <c:v>-0.2</c:v>
                </c:pt>
                <c:pt idx="37">
                  <c:v>-0.4</c:v>
                </c:pt>
                <c:pt idx="38">
                  <c:v>0.3</c:v>
                </c:pt>
                <c:pt idx="39">
                  <c:v>-4.3</c:v>
                </c:pt>
                <c:pt idx="40">
                  <c:v>-3.8</c:v>
                </c:pt>
                <c:pt idx="41">
                  <c:v>0.6</c:v>
                </c:pt>
                <c:pt idx="42">
                  <c:v>-1.9</c:v>
                </c:pt>
                <c:pt idx="43">
                  <c:v>-4.4000000000000004</c:v>
                </c:pt>
                <c:pt idx="44">
                  <c:v>-4.9000000000000004</c:v>
                </c:pt>
                <c:pt idx="45">
                  <c:v>-5.4</c:v>
                </c:pt>
                <c:pt idx="46">
                  <c:v>-4</c:v>
                </c:pt>
                <c:pt idx="47">
                  <c:v>-4.0999999999999996</c:v>
                </c:pt>
                <c:pt idx="48">
                  <c:v>-3.1</c:v>
                </c:pt>
                <c:pt idx="49">
                  <c:v>-4.2</c:v>
                </c:pt>
                <c:pt idx="50">
                  <c:v>-4.2</c:v>
                </c:pt>
                <c:pt idx="51">
                  <c:v>1.2</c:v>
                </c:pt>
                <c:pt idx="52">
                  <c:v>-2.6</c:v>
                </c:pt>
                <c:pt idx="53">
                  <c:v>-4.5999999999999996</c:v>
                </c:pt>
                <c:pt idx="54">
                  <c:v>-4.7</c:v>
                </c:pt>
                <c:pt idx="55">
                  <c:v>-5.3</c:v>
                </c:pt>
                <c:pt idx="56">
                  <c:v>-4.5999999999999996</c:v>
                </c:pt>
                <c:pt idx="57">
                  <c:v>-4.5999999999999996</c:v>
                </c:pt>
                <c:pt idx="58">
                  <c:v>-4.4000000000000004</c:v>
                </c:pt>
                <c:pt idx="59">
                  <c:v>-4.8</c:v>
                </c:pt>
                <c:pt idx="60">
                  <c:v>-4.0999999999999996</c:v>
                </c:pt>
                <c:pt idx="61">
                  <c:v>0.3</c:v>
                </c:pt>
                <c:pt idx="62">
                  <c:v>-2.1</c:v>
                </c:pt>
                <c:pt idx="63">
                  <c:v>-5.3</c:v>
                </c:pt>
                <c:pt idx="64">
                  <c:v>-6</c:v>
                </c:pt>
                <c:pt idx="65">
                  <c:v>-7.5</c:v>
                </c:pt>
                <c:pt idx="66">
                  <c:v>-5.0999999999999996</c:v>
                </c:pt>
                <c:pt idx="67">
                  <c:v>-5.3</c:v>
                </c:pt>
                <c:pt idx="68">
                  <c:v>-5.2</c:v>
                </c:pt>
                <c:pt idx="69">
                  <c:v>-6.6</c:v>
                </c:pt>
                <c:pt idx="70">
                  <c:v>-5.2</c:v>
                </c:pt>
                <c:pt idx="71">
                  <c:v>0.4</c:v>
                </c:pt>
                <c:pt idx="72">
                  <c:v>-1.2</c:v>
                </c:pt>
                <c:pt idx="73">
                  <c:v>-5.5</c:v>
                </c:pt>
                <c:pt idx="74">
                  <c:v>-6.2</c:v>
                </c:pt>
                <c:pt idx="75">
                  <c:v>-5.2</c:v>
                </c:pt>
                <c:pt idx="76">
                  <c:v>-5.5</c:v>
                </c:pt>
                <c:pt idx="77">
                  <c:v>-5.6</c:v>
                </c:pt>
                <c:pt idx="78">
                  <c:v>-2.8</c:v>
                </c:pt>
                <c:pt idx="79">
                  <c:v>-6</c:v>
                </c:pt>
                <c:pt idx="80">
                  <c:v>-6.1</c:v>
                </c:pt>
                <c:pt idx="81">
                  <c:v>0.9</c:v>
                </c:pt>
                <c:pt idx="82">
                  <c:v>-0.7</c:v>
                </c:pt>
                <c:pt idx="83">
                  <c:v>-4.2</c:v>
                </c:pt>
                <c:pt idx="84">
                  <c:v>-3.3</c:v>
                </c:pt>
                <c:pt idx="85">
                  <c:v>-4.5999999999999996</c:v>
                </c:pt>
                <c:pt idx="86">
                  <c:v>-5.2</c:v>
                </c:pt>
                <c:pt idx="87">
                  <c:v>-3.6</c:v>
                </c:pt>
                <c:pt idx="88">
                  <c:v>-3.2</c:v>
                </c:pt>
                <c:pt idx="89">
                  <c:v>-5.6</c:v>
                </c:pt>
                <c:pt idx="90">
                  <c:v>-5.0999999999999996</c:v>
                </c:pt>
                <c:pt idx="91">
                  <c:v>-14.6</c:v>
                </c:pt>
                <c:pt idx="92">
                  <c:v>-31.9</c:v>
                </c:pt>
                <c:pt idx="93">
                  <c:v>-6.7</c:v>
                </c:pt>
                <c:pt idx="94">
                  <c:v>-6.1</c:v>
                </c:pt>
                <c:pt idx="95">
                  <c:v>-5.4</c:v>
                </c:pt>
                <c:pt idx="96">
                  <c:v>-5.4</c:v>
                </c:pt>
                <c:pt idx="97">
                  <c:v>-18.899999999999999</c:v>
                </c:pt>
                <c:pt idx="98">
                  <c:v>-18.399999999999999</c:v>
                </c:pt>
                <c:pt idx="99">
                  <c:v>-6.6</c:v>
                </c:pt>
                <c:pt idx="100">
                  <c:v>-5.0999999999999996</c:v>
                </c:pt>
                <c:pt idx="101">
                  <c:v>-2.5</c:v>
                </c:pt>
                <c:pt idx="102">
                  <c:v>-3.7</c:v>
                </c:pt>
                <c:pt idx="103">
                  <c:v>-5.6</c:v>
                </c:pt>
                <c:pt idx="104">
                  <c:v>-4.8</c:v>
                </c:pt>
                <c:pt idx="105">
                  <c:v>1.3</c:v>
                </c:pt>
                <c:pt idx="106">
                  <c:v>2.1</c:v>
                </c:pt>
                <c:pt idx="107">
                  <c:v>-0.9</c:v>
                </c:pt>
                <c:pt idx="108">
                  <c:v>-3.2</c:v>
                </c:pt>
                <c:pt idx="109">
                  <c:v>-2.5</c:v>
                </c:pt>
                <c:pt idx="110">
                  <c:v>-3.1</c:v>
                </c:pt>
                <c:pt idx="1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C7-4D0A-8616-3D27D11BF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34297"/>
        <c:axId val="726117268"/>
      </c:scatterChart>
      <c:valAx>
        <c:axId val="19456342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Discharge (m³/s)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6117268"/>
        <c:crosses val="autoZero"/>
        <c:crossBetween val="midCat"/>
      </c:valAx>
      <c:valAx>
        <c:axId val="726117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Isotope Concentration (‰)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563429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MW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Sheet1!$J$74:$J$85</c:f>
              <c:numCache>
                <c:formatCode>0.0</c:formatCode>
                <c:ptCount val="12"/>
                <c:pt idx="0">
                  <c:v>-0.8</c:v>
                </c:pt>
                <c:pt idx="1">
                  <c:v>-1.7</c:v>
                </c:pt>
                <c:pt idx="2">
                  <c:v>-0.5</c:v>
                </c:pt>
                <c:pt idx="3">
                  <c:v>-1.3</c:v>
                </c:pt>
                <c:pt idx="4">
                  <c:v>-1.1000000000000001</c:v>
                </c:pt>
                <c:pt idx="5">
                  <c:v>-1.8</c:v>
                </c:pt>
                <c:pt idx="6">
                  <c:v>-1.6</c:v>
                </c:pt>
                <c:pt idx="7">
                  <c:v>-1.4</c:v>
                </c:pt>
                <c:pt idx="8">
                  <c:v>-1</c:v>
                </c:pt>
                <c:pt idx="9">
                  <c:v>-2.2000000000000002</c:v>
                </c:pt>
                <c:pt idx="10">
                  <c:v>-1.1000000000000001</c:v>
                </c:pt>
                <c:pt idx="11">
                  <c:v>-0.9</c:v>
                </c:pt>
              </c:numCache>
            </c:numRef>
          </c:xVal>
          <c:yVal>
            <c:numRef>
              <c:f>Sheet1!$K$74:$K$85</c:f>
              <c:numCache>
                <c:formatCode>0.0</c:formatCode>
                <c:ptCount val="12"/>
                <c:pt idx="0">
                  <c:v>3.3</c:v>
                </c:pt>
                <c:pt idx="1">
                  <c:v>0.8</c:v>
                </c:pt>
                <c:pt idx="2">
                  <c:v>3.9</c:v>
                </c:pt>
                <c:pt idx="3">
                  <c:v>-1.1000000000000001</c:v>
                </c:pt>
                <c:pt idx="4">
                  <c:v>-2.8</c:v>
                </c:pt>
                <c:pt idx="5">
                  <c:v>-3.9</c:v>
                </c:pt>
                <c:pt idx="6">
                  <c:v>-2.1</c:v>
                </c:pt>
                <c:pt idx="7">
                  <c:v>-1.3</c:v>
                </c:pt>
                <c:pt idx="8">
                  <c:v>0.1</c:v>
                </c:pt>
                <c:pt idx="9">
                  <c:v>-6</c:v>
                </c:pt>
                <c:pt idx="10">
                  <c:v>-0.2</c:v>
                </c:pt>
                <c:pt idx="11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C1-C84A-B3B9-94DFB6B2D09A}"/>
            </c:ext>
          </c:extLst>
        </c:ser>
        <c:ser>
          <c:idx val="1"/>
          <c:order val="1"/>
          <c:tx>
            <c:v>Lyon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Sheet1!$J$28:$J$64</c:f>
              <c:numCache>
                <c:formatCode>0.0</c:formatCode>
                <c:ptCount val="37"/>
                <c:pt idx="0">
                  <c:v>-1.4</c:v>
                </c:pt>
                <c:pt idx="1">
                  <c:v>-2.4</c:v>
                </c:pt>
                <c:pt idx="2">
                  <c:v>-1.2</c:v>
                </c:pt>
                <c:pt idx="3">
                  <c:v>-1.1000000000000001</c:v>
                </c:pt>
                <c:pt idx="4">
                  <c:v>-1.2</c:v>
                </c:pt>
                <c:pt idx="5">
                  <c:v>-3.7</c:v>
                </c:pt>
                <c:pt idx="6">
                  <c:v>-2.4</c:v>
                </c:pt>
                <c:pt idx="7">
                  <c:v>-0.7</c:v>
                </c:pt>
                <c:pt idx="8">
                  <c:v>-2.6</c:v>
                </c:pt>
                <c:pt idx="9">
                  <c:v>-1</c:v>
                </c:pt>
                <c:pt idx="10">
                  <c:v>-1.5</c:v>
                </c:pt>
                <c:pt idx="11">
                  <c:v>-3.1</c:v>
                </c:pt>
                <c:pt idx="12">
                  <c:v>-2.4</c:v>
                </c:pt>
                <c:pt idx="13">
                  <c:v>-0.8</c:v>
                </c:pt>
                <c:pt idx="14">
                  <c:v>-1.6</c:v>
                </c:pt>
                <c:pt idx="15">
                  <c:v>-1.9</c:v>
                </c:pt>
                <c:pt idx="16">
                  <c:v>-1.8</c:v>
                </c:pt>
                <c:pt idx="17">
                  <c:v>-1.3</c:v>
                </c:pt>
                <c:pt idx="18">
                  <c:v>-1.9</c:v>
                </c:pt>
                <c:pt idx="19">
                  <c:v>-1.5</c:v>
                </c:pt>
                <c:pt idx="20">
                  <c:v>-1.9</c:v>
                </c:pt>
                <c:pt idx="21">
                  <c:v>-1.4</c:v>
                </c:pt>
                <c:pt idx="22">
                  <c:v>-1.9</c:v>
                </c:pt>
                <c:pt idx="23">
                  <c:v>-1.8</c:v>
                </c:pt>
                <c:pt idx="24">
                  <c:v>-1.7</c:v>
                </c:pt>
                <c:pt idx="25">
                  <c:v>-1.3</c:v>
                </c:pt>
                <c:pt idx="26">
                  <c:v>-3.4</c:v>
                </c:pt>
                <c:pt idx="27">
                  <c:v>-2.1</c:v>
                </c:pt>
                <c:pt idx="28">
                  <c:v>-0.4</c:v>
                </c:pt>
                <c:pt idx="29">
                  <c:v>-1.7</c:v>
                </c:pt>
                <c:pt idx="30">
                  <c:v>-1.6</c:v>
                </c:pt>
                <c:pt idx="31">
                  <c:v>-1</c:v>
                </c:pt>
                <c:pt idx="32">
                  <c:v>-1.9</c:v>
                </c:pt>
                <c:pt idx="33">
                  <c:v>-1.3</c:v>
                </c:pt>
                <c:pt idx="34">
                  <c:v>-0.5</c:v>
                </c:pt>
                <c:pt idx="35">
                  <c:v>-1.6</c:v>
                </c:pt>
              </c:numCache>
            </c:numRef>
          </c:xVal>
          <c:yVal>
            <c:numRef>
              <c:f>Sheet1!$K$28:$K$64</c:f>
              <c:numCache>
                <c:formatCode>0.0</c:formatCode>
                <c:ptCount val="37"/>
                <c:pt idx="0">
                  <c:v>-3.1</c:v>
                </c:pt>
                <c:pt idx="1">
                  <c:v>-6.8</c:v>
                </c:pt>
                <c:pt idx="2">
                  <c:v>2.5</c:v>
                </c:pt>
                <c:pt idx="3">
                  <c:v>2.2999999999999998</c:v>
                </c:pt>
                <c:pt idx="4">
                  <c:v>0.5</c:v>
                </c:pt>
                <c:pt idx="5">
                  <c:v>-15</c:v>
                </c:pt>
                <c:pt idx="6">
                  <c:v>-6.7</c:v>
                </c:pt>
                <c:pt idx="7">
                  <c:v>4.5999999999999996</c:v>
                </c:pt>
                <c:pt idx="8">
                  <c:v>-6.1</c:v>
                </c:pt>
                <c:pt idx="9">
                  <c:v>2.4</c:v>
                </c:pt>
                <c:pt idx="10">
                  <c:v>1.4</c:v>
                </c:pt>
                <c:pt idx="11">
                  <c:v>-14.6</c:v>
                </c:pt>
                <c:pt idx="12">
                  <c:v>-12.2</c:v>
                </c:pt>
                <c:pt idx="13">
                  <c:v>-1.7</c:v>
                </c:pt>
                <c:pt idx="14">
                  <c:v>3.1</c:v>
                </c:pt>
                <c:pt idx="15">
                  <c:v>0.6</c:v>
                </c:pt>
                <c:pt idx="16">
                  <c:v>4.3</c:v>
                </c:pt>
                <c:pt idx="17">
                  <c:v>1.5</c:v>
                </c:pt>
                <c:pt idx="18">
                  <c:v>3.7</c:v>
                </c:pt>
                <c:pt idx="19">
                  <c:v>1.4</c:v>
                </c:pt>
                <c:pt idx="20">
                  <c:v>0.3</c:v>
                </c:pt>
                <c:pt idx="21">
                  <c:v>3.5</c:v>
                </c:pt>
                <c:pt idx="22">
                  <c:v>-0.2</c:v>
                </c:pt>
                <c:pt idx="23">
                  <c:v>-0.1</c:v>
                </c:pt>
                <c:pt idx="24">
                  <c:v>2.2000000000000002</c:v>
                </c:pt>
                <c:pt idx="25">
                  <c:v>4.7</c:v>
                </c:pt>
                <c:pt idx="26">
                  <c:v>-13.2</c:v>
                </c:pt>
                <c:pt idx="27">
                  <c:v>-1</c:v>
                </c:pt>
                <c:pt idx="28">
                  <c:v>6.1</c:v>
                </c:pt>
                <c:pt idx="29">
                  <c:v>0.1</c:v>
                </c:pt>
                <c:pt idx="30">
                  <c:v>0.3</c:v>
                </c:pt>
                <c:pt idx="31">
                  <c:v>2.2999999999999998</c:v>
                </c:pt>
                <c:pt idx="32">
                  <c:v>-0.7</c:v>
                </c:pt>
                <c:pt idx="33">
                  <c:v>0.6</c:v>
                </c:pt>
                <c:pt idx="34">
                  <c:v>2.8</c:v>
                </c:pt>
                <c:pt idx="35">
                  <c:v>-1.2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C1-C84A-B3B9-94DFB6B2D09A}"/>
            </c:ext>
          </c:extLst>
        </c:ser>
        <c:ser>
          <c:idx val="2"/>
          <c:order val="2"/>
          <c:tx>
            <c:v>UH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Sheet1!$J$3:$J$26</c:f>
              <c:numCache>
                <c:formatCode>0.0</c:formatCode>
                <c:ptCount val="24"/>
                <c:pt idx="0">
                  <c:v>-1.6</c:v>
                </c:pt>
                <c:pt idx="1">
                  <c:v>0.7</c:v>
                </c:pt>
                <c:pt idx="2">
                  <c:v>-1.9</c:v>
                </c:pt>
                <c:pt idx="3">
                  <c:v>-3.5</c:v>
                </c:pt>
                <c:pt idx="4">
                  <c:v>-4.8</c:v>
                </c:pt>
                <c:pt idx="5">
                  <c:v>-6.9</c:v>
                </c:pt>
                <c:pt idx="6">
                  <c:v>-2.4</c:v>
                </c:pt>
                <c:pt idx="7">
                  <c:v>-2.5</c:v>
                </c:pt>
                <c:pt idx="8">
                  <c:v>-5.0999999999999996</c:v>
                </c:pt>
                <c:pt idx="9">
                  <c:v>-6</c:v>
                </c:pt>
                <c:pt idx="10">
                  <c:v>-13</c:v>
                </c:pt>
                <c:pt idx="11">
                  <c:v>-3.6</c:v>
                </c:pt>
                <c:pt idx="12">
                  <c:v>-3.8</c:v>
                </c:pt>
                <c:pt idx="13">
                  <c:v>-3.1</c:v>
                </c:pt>
                <c:pt idx="14">
                  <c:v>-7.2</c:v>
                </c:pt>
                <c:pt idx="15">
                  <c:v>-2.5</c:v>
                </c:pt>
                <c:pt idx="16">
                  <c:v>-2</c:v>
                </c:pt>
                <c:pt idx="17">
                  <c:v>-3</c:v>
                </c:pt>
                <c:pt idx="18">
                  <c:v>-4.4000000000000004</c:v>
                </c:pt>
                <c:pt idx="19">
                  <c:v>-2.2999999999999998</c:v>
                </c:pt>
                <c:pt idx="20">
                  <c:v>-2.4</c:v>
                </c:pt>
                <c:pt idx="21">
                  <c:v>-3.1</c:v>
                </c:pt>
                <c:pt idx="22">
                  <c:v>-1.3</c:v>
                </c:pt>
                <c:pt idx="23">
                  <c:v>-1.3</c:v>
                </c:pt>
              </c:numCache>
            </c:numRef>
          </c:xVal>
          <c:yVal>
            <c:numRef>
              <c:f>Sheet1!$K$3:$K$26</c:f>
              <c:numCache>
                <c:formatCode>0.0</c:formatCode>
                <c:ptCount val="24"/>
                <c:pt idx="0">
                  <c:v>5.0999999999999996</c:v>
                </c:pt>
                <c:pt idx="1">
                  <c:v>12.4</c:v>
                </c:pt>
                <c:pt idx="2">
                  <c:v>3.5</c:v>
                </c:pt>
                <c:pt idx="3">
                  <c:v>-9.6</c:v>
                </c:pt>
                <c:pt idx="4">
                  <c:v>-20.5</c:v>
                </c:pt>
                <c:pt idx="5">
                  <c:v>-44.4</c:v>
                </c:pt>
                <c:pt idx="6">
                  <c:v>-8.4</c:v>
                </c:pt>
                <c:pt idx="7">
                  <c:v>-7</c:v>
                </c:pt>
                <c:pt idx="8">
                  <c:v>-27.3</c:v>
                </c:pt>
                <c:pt idx="9">
                  <c:v>-37.1</c:v>
                </c:pt>
                <c:pt idx="10">
                  <c:v>-100.7</c:v>
                </c:pt>
                <c:pt idx="11">
                  <c:v>-14.8</c:v>
                </c:pt>
                <c:pt idx="12">
                  <c:v>-20.6</c:v>
                </c:pt>
                <c:pt idx="13">
                  <c:v>-13.6</c:v>
                </c:pt>
                <c:pt idx="14">
                  <c:v>-46.9</c:v>
                </c:pt>
                <c:pt idx="15">
                  <c:v>-6</c:v>
                </c:pt>
                <c:pt idx="16">
                  <c:v>-3.2</c:v>
                </c:pt>
                <c:pt idx="17">
                  <c:v>-6.7</c:v>
                </c:pt>
                <c:pt idx="18">
                  <c:v>-22.2</c:v>
                </c:pt>
                <c:pt idx="19">
                  <c:v>-5.5</c:v>
                </c:pt>
                <c:pt idx="20">
                  <c:v>-1.8</c:v>
                </c:pt>
                <c:pt idx="21">
                  <c:v>-9.9</c:v>
                </c:pt>
                <c:pt idx="22">
                  <c:v>-2.4</c:v>
                </c:pt>
                <c:pt idx="23">
                  <c:v>-2.2999999999999998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C1-C84A-B3B9-94DFB6B2D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129440"/>
        <c:axId val="505131168"/>
      </c:scatterChart>
      <c:valAx>
        <c:axId val="5051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131168"/>
        <c:crosses val="autoZero"/>
        <c:crossBetween val="midCat"/>
      </c:valAx>
      <c:valAx>
        <c:axId val="50513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12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Sheet1!$A$74:$A$85</c:f>
              <c:numCache>
                <c:formatCode>m/d/yyyy</c:formatCode>
                <c:ptCount val="12"/>
                <c:pt idx="0">
                  <c:v>45117</c:v>
                </c:pt>
                <c:pt idx="1">
                  <c:v>45121</c:v>
                </c:pt>
                <c:pt idx="2">
                  <c:v>45124</c:v>
                </c:pt>
                <c:pt idx="3">
                  <c:v>45128</c:v>
                </c:pt>
                <c:pt idx="4">
                  <c:v>45131</c:v>
                </c:pt>
                <c:pt idx="5">
                  <c:v>45135</c:v>
                </c:pt>
                <c:pt idx="6">
                  <c:v>45142</c:v>
                </c:pt>
                <c:pt idx="7">
                  <c:v>45149</c:v>
                </c:pt>
                <c:pt idx="8">
                  <c:v>45151</c:v>
                </c:pt>
                <c:pt idx="9">
                  <c:v>45162</c:v>
                </c:pt>
                <c:pt idx="10">
                  <c:v>45163</c:v>
                </c:pt>
                <c:pt idx="11">
                  <c:v>45173</c:v>
                </c:pt>
              </c:numCache>
            </c:numRef>
          </c:xVal>
          <c:yVal>
            <c:numRef>
              <c:f>Sheet1!$J$74:$J$85</c:f>
              <c:numCache>
                <c:formatCode>0.0</c:formatCode>
                <c:ptCount val="12"/>
                <c:pt idx="0">
                  <c:v>-0.8</c:v>
                </c:pt>
                <c:pt idx="1">
                  <c:v>-1.7</c:v>
                </c:pt>
                <c:pt idx="2">
                  <c:v>-0.5</c:v>
                </c:pt>
                <c:pt idx="3">
                  <c:v>-1.3</c:v>
                </c:pt>
                <c:pt idx="4">
                  <c:v>-1.1000000000000001</c:v>
                </c:pt>
                <c:pt idx="5">
                  <c:v>-1.8</c:v>
                </c:pt>
                <c:pt idx="6">
                  <c:v>-1.6</c:v>
                </c:pt>
                <c:pt idx="7">
                  <c:v>-1.4</c:v>
                </c:pt>
                <c:pt idx="8">
                  <c:v>-1</c:v>
                </c:pt>
                <c:pt idx="9">
                  <c:v>-2.2000000000000002</c:v>
                </c:pt>
                <c:pt idx="10">
                  <c:v>-1.1000000000000001</c:v>
                </c:pt>
                <c:pt idx="11">
                  <c:v>-0.9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E-354C-BBD9-8B5E0BC345C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Sheet1!$A$28:$A$64</c:f>
              <c:numCache>
                <c:formatCode>m/d/yyyy</c:formatCode>
                <c:ptCount val="37"/>
                <c:pt idx="0" formatCode="m/d/yy\ h:mm">
                  <c:v>45007.519444444442</c:v>
                </c:pt>
                <c:pt idx="1">
                  <c:v>45011</c:v>
                </c:pt>
                <c:pt idx="2" formatCode="m/d/yy">
                  <c:v>45014</c:v>
                </c:pt>
                <c:pt idx="3" formatCode="m/d/yy\ h:mm">
                  <c:v>45014.706250000003</c:v>
                </c:pt>
                <c:pt idx="4" formatCode="m/d/yy">
                  <c:v>45016</c:v>
                </c:pt>
                <c:pt idx="5">
                  <c:v>45021</c:v>
                </c:pt>
                <c:pt idx="6" formatCode="m/d/yy\ h:mm">
                  <c:v>45025.365972222222</c:v>
                </c:pt>
                <c:pt idx="7">
                  <c:v>45028</c:v>
                </c:pt>
                <c:pt idx="8">
                  <c:v>45028</c:v>
                </c:pt>
                <c:pt idx="9">
                  <c:v>45032</c:v>
                </c:pt>
                <c:pt idx="10" formatCode="m/d/yy\ h:mm">
                  <c:v>45032.688194444447</c:v>
                </c:pt>
                <c:pt idx="11">
                  <c:v>45035</c:v>
                </c:pt>
                <c:pt idx="12" formatCode="m/d/yy\ h:mm">
                  <c:v>45035.305555555555</c:v>
                </c:pt>
                <c:pt idx="13">
                  <c:v>45036</c:v>
                </c:pt>
                <c:pt idx="14" formatCode="m/d/yy\ h:mm">
                  <c:v>45037.274305555555</c:v>
                </c:pt>
                <c:pt idx="15" formatCode="m/d/yy\ h:mm">
                  <c:v>45042.49722222222</c:v>
                </c:pt>
                <c:pt idx="16" formatCode="m/d/yy\ h:mm">
                  <c:v>45043.680555555555</c:v>
                </c:pt>
                <c:pt idx="17" formatCode="m/d/yy">
                  <c:v>45044</c:v>
                </c:pt>
                <c:pt idx="18" formatCode="m/d/yy\ h:mm">
                  <c:v>45044.304166666669</c:v>
                </c:pt>
                <c:pt idx="19">
                  <c:v>45046</c:v>
                </c:pt>
                <c:pt idx="20">
                  <c:v>45049</c:v>
                </c:pt>
                <c:pt idx="21">
                  <c:v>45051</c:v>
                </c:pt>
                <c:pt idx="22" formatCode="m/d/yy\ h:mm">
                  <c:v>45052.620833333334</c:v>
                </c:pt>
                <c:pt idx="23">
                  <c:v>45056</c:v>
                </c:pt>
                <c:pt idx="24" formatCode="m/d/yy\ h:mm">
                  <c:v>45059.635416666664</c:v>
                </c:pt>
                <c:pt idx="25">
                  <c:v>45065</c:v>
                </c:pt>
                <c:pt idx="26" formatCode="m/d/yy\ h:mm">
                  <c:v>45065.603472222225</c:v>
                </c:pt>
                <c:pt idx="27">
                  <c:v>45067</c:v>
                </c:pt>
                <c:pt idx="28">
                  <c:v>45072</c:v>
                </c:pt>
                <c:pt idx="29">
                  <c:v>45072</c:v>
                </c:pt>
                <c:pt idx="30">
                  <c:v>45079</c:v>
                </c:pt>
                <c:pt idx="31" formatCode="m/d/yy">
                  <c:v>45086</c:v>
                </c:pt>
                <c:pt idx="32">
                  <c:v>45086</c:v>
                </c:pt>
                <c:pt idx="33" formatCode="m/d/yy\ h:mm">
                  <c:v>45090.701388888891</c:v>
                </c:pt>
                <c:pt idx="34" formatCode="m/d/yy">
                  <c:v>45093</c:v>
                </c:pt>
                <c:pt idx="35">
                  <c:v>45093</c:v>
                </c:pt>
                <c:pt idx="36" formatCode="m/d/yy\ h:mm">
                  <c:v>45093.666666666664</c:v>
                </c:pt>
              </c:numCache>
            </c:numRef>
          </c:xVal>
          <c:yVal>
            <c:numRef>
              <c:f>Sheet1!$J$28:$J$64</c:f>
              <c:numCache>
                <c:formatCode>0.0</c:formatCode>
                <c:ptCount val="37"/>
                <c:pt idx="0">
                  <c:v>-1.4</c:v>
                </c:pt>
                <c:pt idx="1">
                  <c:v>-2.4</c:v>
                </c:pt>
                <c:pt idx="2">
                  <c:v>-1.2</c:v>
                </c:pt>
                <c:pt idx="3">
                  <c:v>-1.1000000000000001</c:v>
                </c:pt>
                <c:pt idx="4">
                  <c:v>-1.2</c:v>
                </c:pt>
                <c:pt idx="5">
                  <c:v>-3.7</c:v>
                </c:pt>
                <c:pt idx="6">
                  <c:v>-2.4</c:v>
                </c:pt>
                <c:pt idx="7">
                  <c:v>-0.7</c:v>
                </c:pt>
                <c:pt idx="8">
                  <c:v>-2.6</c:v>
                </c:pt>
                <c:pt idx="9">
                  <c:v>-1</c:v>
                </c:pt>
                <c:pt idx="10">
                  <c:v>-1.5</c:v>
                </c:pt>
                <c:pt idx="11">
                  <c:v>-3.1</c:v>
                </c:pt>
                <c:pt idx="12">
                  <c:v>-2.4</c:v>
                </c:pt>
                <c:pt idx="13">
                  <c:v>-0.8</c:v>
                </c:pt>
                <c:pt idx="14">
                  <c:v>-1.6</c:v>
                </c:pt>
                <c:pt idx="15">
                  <c:v>-1.9</c:v>
                </c:pt>
                <c:pt idx="16">
                  <c:v>-1.8</c:v>
                </c:pt>
                <c:pt idx="17">
                  <c:v>-1.3</c:v>
                </c:pt>
                <c:pt idx="18">
                  <c:v>-1.9</c:v>
                </c:pt>
                <c:pt idx="19">
                  <c:v>-1.5</c:v>
                </c:pt>
                <c:pt idx="20">
                  <c:v>-1.9</c:v>
                </c:pt>
                <c:pt idx="21">
                  <c:v>-1.4</c:v>
                </c:pt>
                <c:pt idx="22">
                  <c:v>-1.9</c:v>
                </c:pt>
                <c:pt idx="23">
                  <c:v>-1.8</c:v>
                </c:pt>
                <c:pt idx="24">
                  <c:v>-1.7</c:v>
                </c:pt>
                <c:pt idx="25">
                  <c:v>-1.3</c:v>
                </c:pt>
                <c:pt idx="26">
                  <c:v>-3.4</c:v>
                </c:pt>
                <c:pt idx="27">
                  <c:v>-2.1</c:v>
                </c:pt>
                <c:pt idx="28">
                  <c:v>-0.4</c:v>
                </c:pt>
                <c:pt idx="29">
                  <c:v>-1.7</c:v>
                </c:pt>
                <c:pt idx="30">
                  <c:v>-1.6</c:v>
                </c:pt>
                <c:pt idx="31">
                  <c:v>-1</c:v>
                </c:pt>
                <c:pt idx="32">
                  <c:v>-1.9</c:v>
                </c:pt>
                <c:pt idx="33">
                  <c:v>-1.3</c:v>
                </c:pt>
                <c:pt idx="34">
                  <c:v>-0.5</c:v>
                </c:pt>
                <c:pt idx="35">
                  <c:v>-1.6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DE-354C-BBD9-8B5E0BC345C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Sheet1!$A$3:$A$26</c:f>
              <c:numCache>
                <c:formatCode>m/d/yyyy</c:formatCode>
                <c:ptCount val="24"/>
                <c:pt idx="0" formatCode="m/d/yy\ h:mm">
                  <c:v>44933.556944444441</c:v>
                </c:pt>
                <c:pt idx="1">
                  <c:v>44942</c:v>
                </c:pt>
                <c:pt idx="2" formatCode="m/d/yy\ h:mm">
                  <c:v>44954.725694444445</c:v>
                </c:pt>
                <c:pt idx="3" formatCode="m/d/yy\ h:mm">
                  <c:v>44955.6875</c:v>
                </c:pt>
                <c:pt idx="4">
                  <c:v>44956</c:v>
                </c:pt>
                <c:pt idx="5" formatCode="m/d/yy\ h:mm">
                  <c:v>44959.709722222222</c:v>
                </c:pt>
                <c:pt idx="6" formatCode="m/d/yy">
                  <c:v>44967</c:v>
                </c:pt>
                <c:pt idx="7" formatCode="m/d/yy">
                  <c:v>44967</c:v>
                </c:pt>
                <c:pt idx="8" formatCode="m/d/yy\ h:mm">
                  <c:v>44972.679861111108</c:v>
                </c:pt>
                <c:pt idx="9" formatCode="m/d/yy">
                  <c:v>44974</c:v>
                </c:pt>
                <c:pt idx="10" formatCode="m/d/yy\ h:mm">
                  <c:v>44975.347916666666</c:v>
                </c:pt>
                <c:pt idx="11" formatCode="m/d/yy\ h:mm">
                  <c:v>44977.697916666664</c:v>
                </c:pt>
                <c:pt idx="12" formatCode="m/d/yy">
                  <c:v>44981</c:v>
                </c:pt>
                <c:pt idx="13" formatCode="m/d/yy">
                  <c:v>44981</c:v>
                </c:pt>
                <c:pt idx="14">
                  <c:v>44982</c:v>
                </c:pt>
                <c:pt idx="15" formatCode="m/d/yy\ h:mm">
                  <c:v>44986.451388888891</c:v>
                </c:pt>
                <c:pt idx="16" formatCode="m/d/yy">
                  <c:v>44988</c:v>
                </c:pt>
                <c:pt idx="17" formatCode="m/d/yy">
                  <c:v>44988</c:v>
                </c:pt>
                <c:pt idx="18" formatCode="m/d/yy\ h:mm">
                  <c:v>44990.583333333336</c:v>
                </c:pt>
                <c:pt idx="19" formatCode="m/d/yy\ h:mm">
                  <c:v>44993.295138888891</c:v>
                </c:pt>
                <c:pt idx="20" formatCode="m/d/yy">
                  <c:v>44995</c:v>
                </c:pt>
                <c:pt idx="21" formatCode="m/d/yy">
                  <c:v>44995</c:v>
                </c:pt>
                <c:pt idx="22" formatCode="m/d/yy">
                  <c:v>45002</c:v>
                </c:pt>
                <c:pt idx="23" formatCode="m/d/yy">
                  <c:v>45002</c:v>
                </c:pt>
              </c:numCache>
            </c:numRef>
          </c:xVal>
          <c:yVal>
            <c:numRef>
              <c:f>Sheet1!$J$3:$J$26</c:f>
              <c:numCache>
                <c:formatCode>0.0</c:formatCode>
                <c:ptCount val="24"/>
                <c:pt idx="0">
                  <c:v>-1.6</c:v>
                </c:pt>
                <c:pt idx="1">
                  <c:v>0.7</c:v>
                </c:pt>
                <c:pt idx="2">
                  <c:v>-1.9</c:v>
                </c:pt>
                <c:pt idx="3">
                  <c:v>-3.5</c:v>
                </c:pt>
                <c:pt idx="4">
                  <c:v>-4.8</c:v>
                </c:pt>
                <c:pt idx="5">
                  <c:v>-6.9</c:v>
                </c:pt>
                <c:pt idx="6">
                  <c:v>-2.4</c:v>
                </c:pt>
                <c:pt idx="7">
                  <c:v>-2.5</c:v>
                </c:pt>
                <c:pt idx="8">
                  <c:v>-5.0999999999999996</c:v>
                </c:pt>
                <c:pt idx="9">
                  <c:v>-6</c:v>
                </c:pt>
                <c:pt idx="10">
                  <c:v>-13</c:v>
                </c:pt>
                <c:pt idx="11">
                  <c:v>-3.6</c:v>
                </c:pt>
                <c:pt idx="12">
                  <c:v>-3.8</c:v>
                </c:pt>
                <c:pt idx="13">
                  <c:v>-3.1</c:v>
                </c:pt>
                <c:pt idx="14">
                  <c:v>-7.2</c:v>
                </c:pt>
                <c:pt idx="15">
                  <c:v>-2.5</c:v>
                </c:pt>
                <c:pt idx="16">
                  <c:v>-2</c:v>
                </c:pt>
                <c:pt idx="17">
                  <c:v>-3</c:v>
                </c:pt>
                <c:pt idx="18">
                  <c:v>-4.4000000000000004</c:v>
                </c:pt>
                <c:pt idx="19">
                  <c:v>-2.2999999999999998</c:v>
                </c:pt>
                <c:pt idx="20">
                  <c:v>-2.4</c:v>
                </c:pt>
                <c:pt idx="21">
                  <c:v>-3.1</c:v>
                </c:pt>
                <c:pt idx="22">
                  <c:v>-1.3</c:v>
                </c:pt>
                <c:pt idx="23">
                  <c:v>-1.3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DE-354C-BBD9-8B5E0BC345C7}"/>
            </c:ext>
          </c:extLst>
        </c:ser>
        <c:ser>
          <c:idx val="3"/>
          <c:order val="3"/>
          <c:tx>
            <c:v>Kailua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Sheet1!$A$87:$A$112</c:f>
              <c:numCache>
                <c:formatCode>m/d/yyyy</c:formatCode>
                <c:ptCount val="26"/>
                <c:pt idx="0">
                  <c:v>45183</c:v>
                </c:pt>
                <c:pt idx="1">
                  <c:v>45186</c:v>
                </c:pt>
                <c:pt idx="2">
                  <c:v>45197</c:v>
                </c:pt>
                <c:pt idx="3">
                  <c:v>45204</c:v>
                </c:pt>
                <c:pt idx="4">
                  <c:v>45218</c:v>
                </c:pt>
                <c:pt idx="5">
                  <c:v>45223</c:v>
                </c:pt>
                <c:pt idx="6">
                  <c:v>45223</c:v>
                </c:pt>
                <c:pt idx="7" formatCode="m/d/yy">
                  <c:v>45235</c:v>
                </c:pt>
                <c:pt idx="8" formatCode="mm/dd/yyyy">
                  <c:v>45239</c:v>
                </c:pt>
                <c:pt idx="9">
                  <c:v>45246</c:v>
                </c:pt>
                <c:pt idx="10" formatCode="mm/dd/yyyy">
                  <c:v>45247</c:v>
                </c:pt>
                <c:pt idx="11">
                  <c:v>45251</c:v>
                </c:pt>
                <c:pt idx="12">
                  <c:v>45257</c:v>
                </c:pt>
                <c:pt idx="13">
                  <c:v>45258</c:v>
                </c:pt>
                <c:pt idx="14">
                  <c:v>45267</c:v>
                </c:pt>
                <c:pt idx="15">
                  <c:v>45274</c:v>
                </c:pt>
                <c:pt idx="16">
                  <c:v>45281</c:v>
                </c:pt>
                <c:pt idx="17">
                  <c:v>45288</c:v>
                </c:pt>
                <c:pt idx="18">
                  <c:v>45295</c:v>
                </c:pt>
                <c:pt idx="19">
                  <c:v>45302</c:v>
                </c:pt>
                <c:pt idx="20" formatCode="m/d/yy">
                  <c:v>45316</c:v>
                </c:pt>
                <c:pt idx="21" formatCode="m/d/yy">
                  <c:v>45322</c:v>
                </c:pt>
                <c:pt idx="22" formatCode="m/d/yy">
                  <c:v>45329</c:v>
                </c:pt>
              </c:numCache>
            </c:numRef>
          </c:xVal>
          <c:yVal>
            <c:numRef>
              <c:f>Sheet1!$J$87:$J$112</c:f>
              <c:numCache>
                <c:formatCode>0.0</c:formatCode>
                <c:ptCount val="26"/>
                <c:pt idx="0">
                  <c:v>-2.1</c:v>
                </c:pt>
                <c:pt idx="1">
                  <c:v>-2.1</c:v>
                </c:pt>
                <c:pt idx="2">
                  <c:v>-1.7</c:v>
                </c:pt>
                <c:pt idx="3">
                  <c:v>-1.6</c:v>
                </c:pt>
                <c:pt idx="4">
                  <c:v>0</c:v>
                </c:pt>
                <c:pt idx="5">
                  <c:v>-1.2</c:v>
                </c:pt>
                <c:pt idx="6">
                  <c:v>-2.2000000000000002</c:v>
                </c:pt>
                <c:pt idx="7">
                  <c:v>-1.6</c:v>
                </c:pt>
                <c:pt idx="8">
                  <c:v>-1.5</c:v>
                </c:pt>
                <c:pt idx="9">
                  <c:v>-1.7</c:v>
                </c:pt>
                <c:pt idx="10">
                  <c:v>-0.8</c:v>
                </c:pt>
                <c:pt idx="11">
                  <c:v>-1.9</c:v>
                </c:pt>
                <c:pt idx="12">
                  <c:v>0</c:v>
                </c:pt>
                <c:pt idx="13">
                  <c:v>-2.8</c:v>
                </c:pt>
                <c:pt idx="14">
                  <c:v>-4.5999999999999996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DE-354C-BBD9-8B5E0BC34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129440"/>
        <c:axId val="505131168"/>
      </c:scatterChart>
      <c:valAx>
        <c:axId val="50512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131168"/>
        <c:crosses val="autoZero"/>
        <c:crossBetween val="midCat"/>
      </c:valAx>
      <c:valAx>
        <c:axId val="50513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12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209550</xdr:colOff>
      <xdr:row>2</xdr:row>
      <xdr:rowOff>66675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460C7347-092A-466D-8677-BAF50F64A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428625</xdr:colOff>
      <xdr:row>19</xdr:row>
      <xdr:rowOff>180975</xdr:rowOff>
    </xdr:from>
    <xdr:ext cx="5715000" cy="3533775"/>
    <xdr:graphicFrame macro="">
      <xdr:nvGraphicFramePr>
        <xdr:cNvPr id="3" name="Chart 4" title="Chart">
          <a:extLst>
            <a:ext uri="{FF2B5EF4-FFF2-40B4-BE49-F238E27FC236}">
              <a16:creationId xmlns:a16="http://schemas.microsoft.com/office/drawing/2014/main" id="{8F9B3BC2-22B1-4578-A784-3C014AD45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20</xdr:col>
      <xdr:colOff>28575</xdr:colOff>
      <xdr:row>2</xdr:row>
      <xdr:rowOff>0</xdr:rowOff>
    </xdr:from>
    <xdr:ext cx="5715000" cy="3533775"/>
    <xdr:graphicFrame macro="">
      <xdr:nvGraphicFramePr>
        <xdr:cNvPr id="4" name="Chart 6" title="Chart">
          <a:extLst>
            <a:ext uri="{FF2B5EF4-FFF2-40B4-BE49-F238E27FC236}">
              <a16:creationId xmlns:a16="http://schemas.microsoft.com/office/drawing/2014/main" id="{18F5CE53-FF91-462A-8A26-5433D3826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18</xdr:col>
      <xdr:colOff>495300</xdr:colOff>
      <xdr:row>50</xdr:row>
      <xdr:rowOff>180975</xdr:rowOff>
    </xdr:from>
    <xdr:ext cx="5715000" cy="3533775"/>
    <xdr:graphicFrame macro="">
      <xdr:nvGraphicFramePr>
        <xdr:cNvPr id="5" name="Chart 8" title="Chart">
          <a:extLst>
            <a:ext uri="{FF2B5EF4-FFF2-40B4-BE49-F238E27FC236}">
              <a16:creationId xmlns:a16="http://schemas.microsoft.com/office/drawing/2014/main" id="{C19F17AE-8042-4FCC-89A0-F630B52D6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333375</xdr:colOff>
      <xdr:row>18</xdr:row>
      <xdr:rowOff>114300</xdr:rowOff>
    </xdr:from>
    <xdr:ext cx="5715000" cy="3533775"/>
    <xdr:graphicFrame macro="">
      <xdr:nvGraphicFramePr>
        <xdr:cNvPr id="6" name="Chart 10" title="Chart">
          <a:extLst>
            <a:ext uri="{FF2B5EF4-FFF2-40B4-BE49-F238E27FC236}">
              <a16:creationId xmlns:a16="http://schemas.microsoft.com/office/drawing/2014/main" id="{20522F11-672B-43A6-B437-7613F3DB1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12</xdr:col>
      <xdr:colOff>428625</xdr:colOff>
      <xdr:row>27</xdr:row>
      <xdr:rowOff>66675</xdr:rowOff>
    </xdr:from>
    <xdr:ext cx="5715000" cy="3533775"/>
    <xdr:graphicFrame macro="">
      <xdr:nvGraphicFramePr>
        <xdr:cNvPr id="7" name="Chart 12" title="Chart">
          <a:extLst>
            <a:ext uri="{FF2B5EF4-FFF2-40B4-BE49-F238E27FC236}">
              <a16:creationId xmlns:a16="http://schemas.microsoft.com/office/drawing/2014/main" id="{3D0597C2-E386-4299-8723-F1063E0F7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20</xdr:col>
      <xdr:colOff>38100</xdr:colOff>
      <xdr:row>18</xdr:row>
      <xdr:rowOff>114300</xdr:rowOff>
    </xdr:from>
    <xdr:ext cx="5715000" cy="3533775"/>
    <xdr:graphicFrame macro="">
      <xdr:nvGraphicFramePr>
        <xdr:cNvPr id="8" name="Chart 14" title="Chart">
          <a:extLst>
            <a:ext uri="{FF2B5EF4-FFF2-40B4-BE49-F238E27FC236}">
              <a16:creationId xmlns:a16="http://schemas.microsoft.com/office/drawing/2014/main" id="{525B772B-1CD6-459B-AA89-161E4AD40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18</xdr:col>
      <xdr:colOff>619125</xdr:colOff>
      <xdr:row>73</xdr:row>
      <xdr:rowOff>161925</xdr:rowOff>
    </xdr:from>
    <xdr:ext cx="5715000" cy="3533775"/>
    <xdr:graphicFrame macro="">
      <xdr:nvGraphicFramePr>
        <xdr:cNvPr id="9" name="Chart 15" title="Chart">
          <a:extLst>
            <a:ext uri="{FF2B5EF4-FFF2-40B4-BE49-F238E27FC236}">
              <a16:creationId xmlns:a16="http://schemas.microsoft.com/office/drawing/2014/main" id="{7181E0F0-07AB-4AA7-AE73-A74C6D870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17</xdr:col>
      <xdr:colOff>219075</xdr:colOff>
      <xdr:row>36</xdr:row>
      <xdr:rowOff>47625</xdr:rowOff>
    </xdr:from>
    <xdr:ext cx="5715000" cy="3533775"/>
    <xdr:graphicFrame macro="">
      <xdr:nvGraphicFramePr>
        <xdr:cNvPr id="10" name="Chart 16" title="Chart">
          <a:extLst>
            <a:ext uri="{FF2B5EF4-FFF2-40B4-BE49-F238E27FC236}">
              <a16:creationId xmlns:a16="http://schemas.microsoft.com/office/drawing/2014/main" id="{26F4A4FE-7A4F-4D10-9362-7ADAD5514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508000</xdr:colOff>
      <xdr:row>2</xdr:row>
      <xdr:rowOff>57150</xdr:rowOff>
    </xdr:from>
    <xdr:to>
      <xdr:col>20</xdr:col>
      <xdr:colOff>127000</xdr:colOff>
      <xdr:row>18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6AA0F-F0F3-C440-A5DB-5996B038B3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622300</xdr:colOff>
      <xdr:row>19</xdr:row>
      <xdr:rowOff>12700</xdr:rowOff>
    </xdr:from>
    <xdr:to>
      <xdr:col>27</xdr:col>
      <xdr:colOff>533400</xdr:colOff>
      <xdr:row>43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BF327C-FC1A-2C4C-993B-D92AFBD3D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FB01-AC8B-4229-B319-63F7FF07E34C}">
  <dimension ref="B1:X148"/>
  <sheetViews>
    <sheetView zoomScale="50" zoomScaleNormal="110" workbookViewId="0">
      <pane xSplit="3" topLeftCell="D1" activePane="topRight" state="frozen"/>
      <selection activeCell="A37" sqref="A37"/>
      <selection pane="topRight" activeCell="B2" sqref="B2:R2"/>
    </sheetView>
  </sheetViews>
  <sheetFormatPr baseColWidth="10" defaultColWidth="8.6640625" defaultRowHeight="16"/>
  <cols>
    <col min="1" max="1" width="8.6640625" style="77"/>
    <col min="2" max="2" width="13.83203125" style="77" bestFit="1" customWidth="1"/>
    <col min="3" max="3" width="11.5" style="77" bestFit="1" customWidth="1"/>
    <col min="4" max="4" width="10.5" style="77" bestFit="1" customWidth="1"/>
    <col min="5" max="5" width="9.5" style="77" bestFit="1" customWidth="1"/>
    <col min="6" max="6" width="17.33203125" style="77" bestFit="1" customWidth="1"/>
    <col min="7" max="7" width="17" style="77" bestFit="1" customWidth="1"/>
    <col min="8" max="8" width="20.6640625" style="77" bestFit="1" customWidth="1"/>
    <col min="9" max="9" width="18.1640625" style="77" bestFit="1" customWidth="1"/>
    <col min="10" max="10" width="16.6640625" style="77" bestFit="1" customWidth="1"/>
    <col min="11" max="11" width="22" style="78" bestFit="1" customWidth="1"/>
    <col min="12" max="12" width="14" style="77" bestFit="1" customWidth="1"/>
    <col min="13" max="13" width="27.6640625" style="77" bestFit="1" customWidth="1"/>
    <col min="14" max="14" width="14.6640625" style="78" bestFit="1" customWidth="1"/>
    <col min="15" max="15" width="8.33203125" style="77" bestFit="1" customWidth="1"/>
    <col min="16" max="16" width="16.5" style="77" bestFit="1" customWidth="1"/>
    <col min="17" max="17" width="15.33203125" style="77" bestFit="1" customWidth="1"/>
    <col min="18" max="18" width="5.1640625" style="77" bestFit="1" customWidth="1"/>
    <col min="19" max="21" width="8.6640625" style="77"/>
    <col min="22" max="22" width="11.5" style="77" bestFit="1" customWidth="1"/>
    <col min="23" max="23" width="9.33203125" style="77" bestFit="1" customWidth="1"/>
    <col min="24" max="24" width="7.83203125" style="77" bestFit="1" customWidth="1"/>
    <col min="25" max="16384" width="8.6640625" style="77"/>
  </cols>
  <sheetData>
    <row r="1" spans="2:24" ht="17" thickBot="1">
      <c r="L1" s="78"/>
    </row>
    <row r="2" spans="2:24">
      <c r="B2" s="85" t="s">
        <v>0</v>
      </c>
      <c r="C2" s="86" t="s">
        <v>1</v>
      </c>
      <c r="D2" s="86" t="s">
        <v>2</v>
      </c>
      <c r="E2" s="86" t="s">
        <v>3</v>
      </c>
      <c r="F2" s="86" t="s">
        <v>4</v>
      </c>
      <c r="G2" s="86" t="s">
        <v>5</v>
      </c>
      <c r="H2" s="86" t="s">
        <v>6</v>
      </c>
      <c r="I2" s="86" t="s">
        <v>7</v>
      </c>
      <c r="J2" s="86" t="s">
        <v>10</v>
      </c>
      <c r="K2" s="86" t="s">
        <v>11</v>
      </c>
      <c r="L2" s="86" t="s">
        <v>163</v>
      </c>
      <c r="M2" s="86" t="s">
        <v>164</v>
      </c>
      <c r="N2" s="86" t="s">
        <v>165</v>
      </c>
      <c r="O2" s="86" t="s">
        <v>304</v>
      </c>
      <c r="P2" s="86" t="s">
        <v>303</v>
      </c>
      <c r="Q2" s="86" t="s">
        <v>305</v>
      </c>
      <c r="R2" s="87" t="s">
        <v>309</v>
      </c>
      <c r="V2" s="79"/>
      <c r="W2" s="98"/>
      <c r="X2" s="98"/>
    </row>
    <row r="3" spans="2:24">
      <c r="B3" s="88">
        <v>44970.399305555555</v>
      </c>
      <c r="C3" s="18">
        <v>1</v>
      </c>
      <c r="D3" s="19">
        <v>-2.6</v>
      </c>
      <c r="E3" s="19">
        <v>-6.7</v>
      </c>
      <c r="F3" s="18">
        <f t="shared" ref="F3:F34" si="0">E3 - (8*D3)</f>
        <v>14.100000000000001</v>
      </c>
      <c r="G3" s="20">
        <v>18</v>
      </c>
      <c r="H3" s="20">
        <f>0.0283168466*'Hailey''s Data'!I1</f>
        <v>0.43891112230000001</v>
      </c>
      <c r="I3" s="18" t="s">
        <v>8</v>
      </c>
      <c r="J3" s="18">
        <v>460</v>
      </c>
      <c r="K3" s="18">
        <v>11.9</v>
      </c>
      <c r="L3" s="18">
        <v>13.090518013522765</v>
      </c>
      <c r="M3" s="18">
        <v>7.7100600000000005E-2</v>
      </c>
      <c r="N3" s="76">
        <v>-2.5</v>
      </c>
      <c r="O3" s="76">
        <v>-7</v>
      </c>
      <c r="P3" s="74">
        <v>-2.42</v>
      </c>
      <c r="Q3" s="74">
        <v>-4.63</v>
      </c>
      <c r="R3" s="89"/>
      <c r="V3" s="78"/>
      <c r="W3" s="83"/>
      <c r="X3" s="83"/>
    </row>
    <row r="4" spans="2:24">
      <c r="B4" s="88">
        <v>44970.429166666669</v>
      </c>
      <c r="C4" s="18">
        <v>2</v>
      </c>
      <c r="D4" s="19">
        <v>-1.9</v>
      </c>
      <c r="E4" s="19">
        <v>-2.2000000000000002</v>
      </c>
      <c r="F4" s="18">
        <f t="shared" si="0"/>
        <v>13</v>
      </c>
      <c r="G4" s="20">
        <v>18.8</v>
      </c>
      <c r="H4" s="20">
        <f>0.0283168466*'Hailey''s Data'!I2</f>
        <v>0.35112889784000001</v>
      </c>
      <c r="I4" s="18" t="s">
        <v>8</v>
      </c>
      <c r="J4" s="18">
        <v>270</v>
      </c>
      <c r="K4" s="18">
        <v>11.9</v>
      </c>
      <c r="L4" s="18">
        <v>6.5743176944307047</v>
      </c>
      <c r="M4" s="18">
        <v>0.12563849999999999</v>
      </c>
      <c r="N4" s="76">
        <v>-2.5</v>
      </c>
      <c r="O4" s="76">
        <v>-7</v>
      </c>
      <c r="P4" s="74">
        <v>-2.42</v>
      </c>
      <c r="Q4" s="74">
        <v>-4.63</v>
      </c>
      <c r="R4" s="89"/>
      <c r="V4" s="84"/>
      <c r="W4" s="83"/>
      <c r="X4" s="83"/>
    </row>
    <row r="5" spans="2:24">
      <c r="B5" s="88">
        <v>44972.372916666667</v>
      </c>
      <c r="C5" s="18">
        <v>6</v>
      </c>
      <c r="D5" s="19">
        <v>-4</v>
      </c>
      <c r="E5" s="19">
        <v>-21.4</v>
      </c>
      <c r="F5" s="18">
        <f t="shared" si="0"/>
        <v>10.600000000000001</v>
      </c>
      <c r="G5" s="20">
        <v>18.5</v>
      </c>
      <c r="H5" s="20">
        <f>0.0283168466*'Hailey''s Data'!I3</f>
        <v>0.43891112230000001</v>
      </c>
      <c r="I5" s="18" t="s">
        <v>8</v>
      </c>
      <c r="J5" s="18">
        <v>5</v>
      </c>
      <c r="K5" s="18">
        <v>20.8</v>
      </c>
      <c r="L5" s="18">
        <v>6.75024809099979</v>
      </c>
      <c r="M5" s="18">
        <v>5.5910100000000004E-3</v>
      </c>
      <c r="N5" s="76">
        <v>-6</v>
      </c>
      <c r="O5" s="76">
        <v>-37.1</v>
      </c>
      <c r="P5" s="74">
        <v>-2.42</v>
      </c>
      <c r="Q5" s="74">
        <v>-4.63</v>
      </c>
      <c r="R5" s="89"/>
      <c r="V5" s="84"/>
      <c r="W5" s="83"/>
      <c r="X5" s="83"/>
    </row>
    <row r="6" spans="2:24">
      <c r="B6" s="88">
        <v>44972.397916666669</v>
      </c>
      <c r="C6" s="18">
        <v>6</v>
      </c>
      <c r="D6" s="19">
        <v>-3.9</v>
      </c>
      <c r="E6" s="19">
        <v>-20.6</v>
      </c>
      <c r="F6" s="18">
        <f t="shared" si="0"/>
        <v>10.599999999999998</v>
      </c>
      <c r="G6" s="20">
        <v>18.5</v>
      </c>
      <c r="H6" s="20">
        <f>0.0283168466*'Hailey''s Data'!I4</f>
        <v>0.41059427570000001</v>
      </c>
      <c r="I6" s="18" t="s">
        <v>8</v>
      </c>
      <c r="J6" s="18">
        <v>5</v>
      </c>
      <c r="K6" s="18">
        <v>20.8</v>
      </c>
      <c r="L6" s="18">
        <v>16.638543548380554</v>
      </c>
      <c r="M6" s="18">
        <v>5.5910100000000004E-3</v>
      </c>
      <c r="N6" s="76">
        <v>-6</v>
      </c>
      <c r="O6" s="76">
        <v>-37.1</v>
      </c>
      <c r="P6" s="74">
        <v>-2.42</v>
      </c>
      <c r="Q6" s="74">
        <v>-4.63</v>
      </c>
      <c r="R6" s="89"/>
      <c r="V6" s="84"/>
      <c r="W6" s="83"/>
      <c r="X6" s="83"/>
    </row>
    <row r="7" spans="2:24">
      <c r="B7" s="88">
        <v>44974.370833333334</v>
      </c>
      <c r="C7" s="18">
        <v>7</v>
      </c>
      <c r="D7" s="19">
        <v>-8.3000000000000007</v>
      </c>
      <c r="E7" s="19">
        <v>-57.5</v>
      </c>
      <c r="F7" s="18">
        <f t="shared" si="0"/>
        <v>8.9000000000000057</v>
      </c>
      <c r="G7" s="20">
        <v>19.399999999999999</v>
      </c>
      <c r="H7" s="20">
        <f>0.0283168466*'Hailey''s Data'!I5</f>
        <v>0.62580230986000007</v>
      </c>
      <c r="I7" s="18" t="s">
        <v>8</v>
      </c>
      <c r="J7" s="18">
        <v>5</v>
      </c>
      <c r="K7" s="18">
        <v>28.2</v>
      </c>
      <c r="L7" s="18">
        <v>27.129651361457423</v>
      </c>
      <c r="M7" s="18">
        <v>5.2366299999999999E-3</v>
      </c>
      <c r="N7" s="76">
        <v>-6</v>
      </c>
      <c r="O7" s="76">
        <v>-37.1</v>
      </c>
      <c r="P7" s="74">
        <v>-2.42</v>
      </c>
      <c r="Q7" s="74">
        <v>-4.63</v>
      </c>
      <c r="R7" s="89"/>
      <c r="V7" s="84"/>
      <c r="W7" s="83"/>
      <c r="X7" s="83"/>
    </row>
    <row r="8" spans="2:24">
      <c r="B8" s="88">
        <v>44974.385416666664</v>
      </c>
      <c r="C8" s="18">
        <v>7</v>
      </c>
      <c r="D8" s="19">
        <v>-8.4</v>
      </c>
      <c r="E8" s="19">
        <v>-58.3</v>
      </c>
      <c r="F8" s="18">
        <f t="shared" si="0"/>
        <v>8.9000000000000057</v>
      </c>
      <c r="G8" s="20">
        <v>19.600000000000001</v>
      </c>
      <c r="H8" s="20">
        <f>0.0283168466*'Hailey''s Data'!I6</f>
        <v>0.54368345472000001</v>
      </c>
      <c r="I8" s="18" t="s">
        <v>8</v>
      </c>
      <c r="J8" s="18">
        <v>5</v>
      </c>
      <c r="K8" s="18">
        <v>28.2</v>
      </c>
      <c r="L8" s="18">
        <v>1.9843223083390975</v>
      </c>
      <c r="M8" s="18">
        <v>5.2366299999999999E-3</v>
      </c>
      <c r="N8" s="76">
        <v>-6</v>
      </c>
      <c r="O8" s="76">
        <v>-37.1</v>
      </c>
      <c r="P8" s="74">
        <v>-2.42</v>
      </c>
      <c r="Q8" s="74">
        <v>-4.63</v>
      </c>
      <c r="R8" s="89"/>
      <c r="V8" s="84"/>
      <c r="W8" s="83"/>
      <c r="X8" s="83"/>
    </row>
    <row r="9" spans="2:24">
      <c r="B9" s="88">
        <v>44974.432638888888</v>
      </c>
      <c r="C9" s="18">
        <v>3</v>
      </c>
      <c r="D9" s="19">
        <v>-5</v>
      </c>
      <c r="E9" s="19">
        <v>-26.9</v>
      </c>
      <c r="F9" s="18">
        <f t="shared" si="0"/>
        <v>13.100000000000001</v>
      </c>
      <c r="G9" s="20">
        <v>18.399999999999999</v>
      </c>
      <c r="H9" s="20">
        <f>0.0283168466*'Hailey''s Data'!I7</f>
        <v>0.50403986948000001</v>
      </c>
      <c r="I9" s="18" t="s">
        <v>8</v>
      </c>
      <c r="J9" s="18">
        <v>230</v>
      </c>
      <c r="K9" s="18">
        <v>28.2</v>
      </c>
      <c r="L9" s="18">
        <v>0.29788658850079314</v>
      </c>
      <c r="M9" s="18">
        <v>1.06991E-2</v>
      </c>
      <c r="N9" s="76">
        <v>-6</v>
      </c>
      <c r="O9" s="76">
        <v>-37.1</v>
      </c>
      <c r="P9" s="74">
        <v>-2.42</v>
      </c>
      <c r="Q9" s="74">
        <v>-4.63</v>
      </c>
      <c r="R9" s="89"/>
      <c r="V9" s="84"/>
      <c r="W9" s="83"/>
      <c r="X9" s="83"/>
    </row>
    <row r="10" spans="2:24">
      <c r="B10" s="88">
        <v>44977.37222222222</v>
      </c>
      <c r="C10" s="18">
        <v>1</v>
      </c>
      <c r="D10" s="19">
        <v>-3.7</v>
      </c>
      <c r="E10" s="19">
        <v>-14.1</v>
      </c>
      <c r="F10" s="18">
        <f t="shared" si="0"/>
        <v>15.500000000000002</v>
      </c>
      <c r="G10" s="20">
        <v>17.7</v>
      </c>
      <c r="H10" s="20">
        <f>0.0283168466*'Hailey''s Data'!I8</f>
        <v>0.48421807686000007</v>
      </c>
      <c r="I10" s="18" t="s">
        <v>8</v>
      </c>
      <c r="J10" s="18">
        <v>460</v>
      </c>
      <c r="K10" s="18">
        <v>30.5</v>
      </c>
      <c r="L10" s="18">
        <v>0.43056379280385193</v>
      </c>
      <c r="M10" s="18">
        <v>0.240284</v>
      </c>
      <c r="N10" s="76">
        <v>-6</v>
      </c>
      <c r="O10" s="76">
        <v>-37.1</v>
      </c>
      <c r="P10" s="74">
        <v>-2.42</v>
      </c>
      <c r="Q10" s="74">
        <v>-4.63</v>
      </c>
      <c r="R10" s="89"/>
      <c r="V10" s="84"/>
      <c r="W10" s="83"/>
      <c r="X10" s="83"/>
    </row>
    <row r="11" spans="2:24">
      <c r="B11" s="88">
        <v>44977.393055555556</v>
      </c>
      <c r="C11" s="18">
        <v>1</v>
      </c>
      <c r="D11" s="19">
        <v>-2.6</v>
      </c>
      <c r="E11" s="19">
        <v>-7.6</v>
      </c>
      <c r="F11" s="18">
        <f t="shared" si="0"/>
        <v>13.200000000000001</v>
      </c>
      <c r="G11" s="20">
        <v>18.7</v>
      </c>
      <c r="H11" s="20">
        <f>0.0283168466*'Hailey''s Data'!I9</f>
        <v>0.42758438366000001</v>
      </c>
      <c r="I11" s="18" t="s">
        <v>8</v>
      </c>
      <c r="J11" s="18">
        <v>460</v>
      </c>
      <c r="K11" s="18">
        <v>30.5</v>
      </c>
      <c r="L11" s="18">
        <v>1.74146985729333</v>
      </c>
      <c r="M11" s="18">
        <v>0.240284</v>
      </c>
      <c r="N11" s="76">
        <v>-6</v>
      </c>
      <c r="O11" s="76">
        <v>-37.1</v>
      </c>
      <c r="P11" s="74">
        <v>-2.42</v>
      </c>
      <c r="Q11" s="74">
        <v>-4.63</v>
      </c>
      <c r="R11" s="89"/>
      <c r="V11" s="84"/>
      <c r="W11" s="83"/>
      <c r="X11" s="83"/>
    </row>
    <row r="12" spans="2:24">
      <c r="B12" s="88">
        <v>44977.43472222222</v>
      </c>
      <c r="C12" s="18">
        <v>3</v>
      </c>
      <c r="D12" s="19">
        <v>-3.1</v>
      </c>
      <c r="E12" s="19">
        <v>-10.6</v>
      </c>
      <c r="F12" s="18">
        <f t="shared" si="0"/>
        <v>14.200000000000001</v>
      </c>
      <c r="G12" s="20">
        <v>19.3</v>
      </c>
      <c r="H12" s="20">
        <f>0.0283168466*'Hailey''s Data'!I10</f>
        <v>0.43324775298000001</v>
      </c>
      <c r="I12" s="18" t="s">
        <v>8</v>
      </c>
      <c r="J12" s="18">
        <v>230</v>
      </c>
      <c r="K12" s="18">
        <v>30.5</v>
      </c>
      <c r="L12" s="18">
        <v>1.7410989930712537</v>
      </c>
      <c r="M12" s="18">
        <v>3.06191E-2</v>
      </c>
      <c r="N12" s="76">
        <v>-6</v>
      </c>
      <c r="O12" s="76">
        <v>-37.1</v>
      </c>
      <c r="P12" s="74">
        <v>-2.42</v>
      </c>
      <c r="Q12" s="74">
        <v>-4.63</v>
      </c>
      <c r="R12" s="89"/>
      <c r="V12" s="84"/>
      <c r="W12" s="83"/>
      <c r="X12" s="83"/>
    </row>
    <row r="13" spans="2:24">
      <c r="B13" s="88">
        <v>44977.448611111111</v>
      </c>
      <c r="C13" s="18">
        <v>2</v>
      </c>
      <c r="D13" s="19">
        <v>-3.1</v>
      </c>
      <c r="E13" s="19">
        <v>-10.3</v>
      </c>
      <c r="F13" s="18">
        <f t="shared" si="0"/>
        <v>14.5</v>
      </c>
      <c r="G13" s="20">
        <v>18.899999999999999</v>
      </c>
      <c r="H13" s="20">
        <f>0.0283168466*'Hailey''s Data'!I11</f>
        <v>0.39926753706000001</v>
      </c>
      <c r="I13" s="18" t="s">
        <v>8</v>
      </c>
      <c r="J13" s="18">
        <v>270</v>
      </c>
      <c r="K13" s="18">
        <v>30.5</v>
      </c>
      <c r="L13" s="18">
        <v>0.27207777483717038</v>
      </c>
      <c r="M13" s="18">
        <v>7.7100600000000005E-2</v>
      </c>
      <c r="N13" s="76">
        <v>-6</v>
      </c>
      <c r="O13" s="76">
        <v>-37.1</v>
      </c>
      <c r="P13" s="74">
        <v>-2.42</v>
      </c>
      <c r="Q13" s="74">
        <v>-4.63</v>
      </c>
      <c r="R13" s="89"/>
      <c r="V13" s="84"/>
      <c r="W13" s="83"/>
      <c r="X13" s="83"/>
    </row>
    <row r="14" spans="2:24">
      <c r="B14" s="88">
        <v>44979.367361111108</v>
      </c>
      <c r="C14" s="18">
        <v>4</v>
      </c>
      <c r="D14" s="19">
        <v>-2.5</v>
      </c>
      <c r="E14" s="19">
        <v>-6.5</v>
      </c>
      <c r="F14" s="18">
        <f t="shared" si="0"/>
        <v>13.5</v>
      </c>
      <c r="G14" s="20">
        <v>19.3</v>
      </c>
      <c r="H14" s="20">
        <f>0.0283168466*'Hailey''s Data'!I12</f>
        <v>0.41908932968000001</v>
      </c>
      <c r="I14" s="18" t="s">
        <v>8</v>
      </c>
      <c r="J14" s="18">
        <v>80</v>
      </c>
      <c r="K14" s="18">
        <v>31.8</v>
      </c>
      <c r="L14" s="18">
        <v>18.101799033962475</v>
      </c>
      <c r="M14" s="18">
        <v>9.4826599999999997E-2</v>
      </c>
      <c r="N14" s="76">
        <v>-3.1</v>
      </c>
      <c r="O14" s="76">
        <v>-13.6</v>
      </c>
      <c r="P14" s="74">
        <v>-2.42</v>
      </c>
      <c r="Q14" s="74">
        <v>-4.63</v>
      </c>
      <c r="R14" s="89"/>
      <c r="V14" s="84"/>
      <c r="W14" s="83"/>
      <c r="X14" s="83"/>
    </row>
    <row r="15" spans="2:24">
      <c r="B15" s="88">
        <v>44979.385416666664</v>
      </c>
      <c r="C15" s="18">
        <v>5</v>
      </c>
      <c r="D15" s="19">
        <v>-2.4</v>
      </c>
      <c r="E15" s="19">
        <v>-5.7</v>
      </c>
      <c r="F15" s="18">
        <f t="shared" si="0"/>
        <v>13.5</v>
      </c>
      <c r="G15" s="20">
        <v>19.5</v>
      </c>
      <c r="H15" s="20">
        <f>0.0283168466*'Hailey''s Data'!I13</f>
        <v>0.58332703996000002</v>
      </c>
      <c r="I15" s="18" t="s">
        <v>8</v>
      </c>
      <c r="J15" s="18">
        <v>80</v>
      </c>
      <c r="K15" s="18">
        <v>31.8</v>
      </c>
      <c r="L15" s="18">
        <v>13.36550096539427</v>
      </c>
      <c r="M15" s="18">
        <v>3.24406E-2</v>
      </c>
      <c r="N15" s="76">
        <v>-3.1</v>
      </c>
      <c r="O15" s="76">
        <v>-13.6</v>
      </c>
      <c r="P15" s="74">
        <v>-2.42</v>
      </c>
      <c r="Q15" s="74">
        <v>-4.63</v>
      </c>
      <c r="R15" s="89"/>
      <c r="V15" s="84"/>
      <c r="W15" s="83"/>
      <c r="X15" s="83"/>
    </row>
    <row r="16" spans="2:24">
      <c r="B16" s="88">
        <v>44979.541666666664</v>
      </c>
      <c r="C16" s="18">
        <v>6</v>
      </c>
      <c r="D16" s="19">
        <v>-2.1</v>
      </c>
      <c r="E16" s="19">
        <v>-4.2</v>
      </c>
      <c r="F16" s="18">
        <f t="shared" si="0"/>
        <v>12.600000000000001</v>
      </c>
      <c r="G16" s="20">
        <v>20.3</v>
      </c>
      <c r="H16" s="20">
        <f>0.0283168466*'Hailey''s Data'!I14</f>
        <v>0.63429736384000002</v>
      </c>
      <c r="I16" s="18" t="s">
        <v>8</v>
      </c>
      <c r="J16" s="18">
        <v>80</v>
      </c>
      <c r="K16" s="18">
        <v>31.8</v>
      </c>
      <c r="L16" s="18">
        <v>21.064742513433053</v>
      </c>
      <c r="M16" s="18">
        <v>2.33487E-2</v>
      </c>
      <c r="N16" s="76">
        <v>-3.1</v>
      </c>
      <c r="O16" s="76">
        <v>-13.6</v>
      </c>
      <c r="P16" s="74">
        <v>-2.42</v>
      </c>
      <c r="Q16" s="74">
        <v>-4.63</v>
      </c>
      <c r="R16" s="89"/>
      <c r="V16" s="84"/>
      <c r="W16" s="83"/>
      <c r="X16" s="83"/>
    </row>
    <row r="17" spans="2:24">
      <c r="B17" s="88">
        <v>44979.5625</v>
      </c>
      <c r="C17" s="18">
        <v>6</v>
      </c>
      <c r="D17" s="19">
        <v>-2.1</v>
      </c>
      <c r="E17" s="19">
        <v>-4.0999999999999996</v>
      </c>
      <c r="F17" s="18">
        <f t="shared" si="0"/>
        <v>12.700000000000001</v>
      </c>
      <c r="G17" s="20">
        <v>20.2</v>
      </c>
      <c r="H17" s="20">
        <f>0.0283168466*'Hailey''s Data'!I15</f>
        <v>0.59182209393999996</v>
      </c>
      <c r="I17" s="18" t="s">
        <v>8</v>
      </c>
      <c r="J17" s="18">
        <v>80</v>
      </c>
      <c r="K17" s="18">
        <v>31.8</v>
      </c>
      <c r="L17" s="18">
        <v>3.4693437683623167</v>
      </c>
      <c r="M17" s="18">
        <v>2.33487E-2</v>
      </c>
      <c r="N17" s="76">
        <v>-3.1</v>
      </c>
      <c r="O17" s="76">
        <v>-13.6</v>
      </c>
      <c r="P17" s="74">
        <v>-2.42</v>
      </c>
      <c r="Q17" s="74">
        <v>-4.63</v>
      </c>
      <c r="R17" s="89"/>
      <c r="V17" s="84"/>
      <c r="W17" s="83"/>
      <c r="X17" s="83"/>
    </row>
    <row r="18" spans="2:24">
      <c r="B18" s="88">
        <v>44981.361111111109</v>
      </c>
      <c r="C18" s="18">
        <v>7</v>
      </c>
      <c r="D18" s="19">
        <v>-2.1</v>
      </c>
      <c r="E18" s="19">
        <v>-4.4000000000000004</v>
      </c>
      <c r="F18" s="18">
        <f t="shared" si="0"/>
        <v>12.4</v>
      </c>
      <c r="G18" s="20">
        <v>19</v>
      </c>
      <c r="H18" s="20">
        <f>0.0283168466*'Hailey''s Data'!I16</f>
        <v>0.59182209393999996</v>
      </c>
      <c r="I18" s="18" t="s">
        <v>8</v>
      </c>
      <c r="J18" s="18">
        <v>5</v>
      </c>
      <c r="K18" s="18">
        <v>14.7</v>
      </c>
      <c r="L18" s="18">
        <v>0.37994869922716079</v>
      </c>
      <c r="M18" s="18">
        <v>2.23054E-2</v>
      </c>
      <c r="N18" s="76">
        <v>-3.1</v>
      </c>
      <c r="O18" s="76">
        <v>-13.6</v>
      </c>
      <c r="P18" s="74">
        <v>-2.42</v>
      </c>
      <c r="Q18" s="74">
        <v>-4.63</v>
      </c>
      <c r="R18" s="89"/>
      <c r="V18" s="84"/>
      <c r="W18" s="83"/>
      <c r="X18" s="83"/>
    </row>
    <row r="19" spans="2:24">
      <c r="B19" s="88">
        <v>44981.375</v>
      </c>
      <c r="C19" s="18">
        <v>7</v>
      </c>
      <c r="D19" s="19">
        <v>-2.1</v>
      </c>
      <c r="E19" s="19">
        <v>-4.2</v>
      </c>
      <c r="F19" s="18">
        <f t="shared" si="0"/>
        <v>12.600000000000001</v>
      </c>
      <c r="G19" s="20">
        <v>19.100000000000001</v>
      </c>
      <c r="H19" s="20">
        <f>0.0283168466*'Hailey''s Data'!I17</f>
        <v>0.33980215920000001</v>
      </c>
      <c r="I19" s="18" t="s">
        <v>8</v>
      </c>
      <c r="J19" s="18">
        <v>5</v>
      </c>
      <c r="K19" s="18">
        <v>14.7</v>
      </c>
      <c r="L19" s="18">
        <v>0.43535458693059043</v>
      </c>
      <c r="M19" s="18">
        <v>2.23054E-2</v>
      </c>
      <c r="N19" s="76">
        <v>-3.1</v>
      </c>
      <c r="O19" s="76">
        <v>-13.6</v>
      </c>
      <c r="P19" s="74">
        <v>-2.42</v>
      </c>
      <c r="Q19" s="74">
        <v>-4.63</v>
      </c>
      <c r="R19" s="89"/>
      <c r="V19" s="84"/>
      <c r="W19" s="83"/>
      <c r="X19" s="83"/>
    </row>
    <row r="20" spans="2:24">
      <c r="B20" s="88">
        <v>44986.363888888889</v>
      </c>
      <c r="C20" s="18">
        <v>5</v>
      </c>
      <c r="D20" s="19">
        <v>-2.8</v>
      </c>
      <c r="E20" s="19">
        <v>-6.4</v>
      </c>
      <c r="F20" s="18">
        <f t="shared" si="0"/>
        <v>15.999999999999998</v>
      </c>
      <c r="G20" s="20">
        <v>17.7</v>
      </c>
      <c r="H20" s="20">
        <f>0.0283168466*'Hailey''s Data'!I18</f>
        <v>0.33130710522000001</v>
      </c>
      <c r="I20" s="18" t="s">
        <v>8</v>
      </c>
      <c r="J20" s="18">
        <v>80</v>
      </c>
      <c r="K20" s="18">
        <v>41.9</v>
      </c>
      <c r="L20" s="18">
        <v>16.224920746551931</v>
      </c>
      <c r="M20" s="18">
        <v>4.1506300000000003E-2</v>
      </c>
      <c r="N20" s="76">
        <v>-3</v>
      </c>
      <c r="O20" s="76">
        <v>-6.7</v>
      </c>
      <c r="P20" s="74">
        <v>-2.42</v>
      </c>
      <c r="Q20" s="74">
        <v>-4.63</v>
      </c>
      <c r="R20" s="89"/>
      <c r="V20" s="84"/>
      <c r="W20" s="83"/>
      <c r="X20" s="83"/>
    </row>
    <row r="21" spans="2:24">
      <c r="B21" s="88">
        <v>44986.381944444445</v>
      </c>
      <c r="C21" s="18">
        <v>4</v>
      </c>
      <c r="D21" s="19">
        <v>-2.9</v>
      </c>
      <c r="E21" s="19">
        <v>-6.7</v>
      </c>
      <c r="F21" s="18">
        <f t="shared" si="0"/>
        <v>16.5</v>
      </c>
      <c r="G21" s="20">
        <v>17.7</v>
      </c>
      <c r="H21" s="20">
        <f>0.0283168466*'Hailey''s Data'!I19</f>
        <v>0.38227742910000001</v>
      </c>
      <c r="I21" s="18" t="s">
        <v>8</v>
      </c>
      <c r="J21" s="18">
        <v>80</v>
      </c>
      <c r="K21" s="18">
        <v>41.9</v>
      </c>
      <c r="L21" s="18">
        <v>16.074247820958494</v>
      </c>
      <c r="M21" s="18">
        <v>0.125691</v>
      </c>
      <c r="N21" s="76">
        <v>-3</v>
      </c>
      <c r="O21" s="76">
        <v>-6.7</v>
      </c>
      <c r="P21" s="74">
        <v>-2.42</v>
      </c>
      <c r="Q21" s="74">
        <v>-4.63</v>
      </c>
      <c r="R21" s="89"/>
      <c r="V21" s="84"/>
      <c r="W21" s="83"/>
      <c r="X21" s="83"/>
    </row>
    <row r="22" spans="2:24">
      <c r="B22" s="88">
        <v>44986.401388888888</v>
      </c>
      <c r="C22" s="18">
        <v>3</v>
      </c>
      <c r="D22" s="19">
        <v>-3.1</v>
      </c>
      <c r="E22" s="19">
        <v>-10.3</v>
      </c>
      <c r="F22" s="18">
        <f t="shared" si="0"/>
        <v>14.5</v>
      </c>
      <c r="G22" s="20">
        <v>17.5</v>
      </c>
      <c r="H22" s="20">
        <f>0.0283168466*'Hailey''s Data'!I20</f>
        <v>1.08453522478</v>
      </c>
      <c r="I22" s="18" t="s">
        <v>8</v>
      </c>
      <c r="J22" s="18">
        <v>230</v>
      </c>
      <c r="K22" s="18">
        <v>41.9</v>
      </c>
      <c r="L22" s="18">
        <v>2.7956503444898737</v>
      </c>
      <c r="M22" s="18">
        <v>3.8610800000000001E-2</v>
      </c>
      <c r="N22" s="76">
        <v>-3</v>
      </c>
      <c r="O22" s="76">
        <v>-6.7</v>
      </c>
      <c r="P22" s="74">
        <v>-2.42</v>
      </c>
      <c r="Q22" s="74">
        <v>-4.63</v>
      </c>
      <c r="R22" s="89"/>
      <c r="V22" s="84"/>
      <c r="W22" s="83"/>
      <c r="X22" s="83"/>
    </row>
    <row r="23" spans="2:24">
      <c r="B23" s="88">
        <v>45019.381944444445</v>
      </c>
      <c r="C23" s="18">
        <v>3</v>
      </c>
      <c r="D23" s="19">
        <v>-2.7</v>
      </c>
      <c r="E23" s="19">
        <v>-6.9</v>
      </c>
      <c r="F23" s="18">
        <f t="shared" si="0"/>
        <v>14.700000000000001</v>
      </c>
      <c r="G23" s="20">
        <v>21.5</v>
      </c>
      <c r="H23" s="20">
        <f>0.0283168466*'Hailey''s Data'!I21</f>
        <v>0.95710941507999991</v>
      </c>
      <c r="I23" s="18" t="s">
        <v>8</v>
      </c>
      <c r="J23" s="18">
        <v>230</v>
      </c>
      <c r="K23" s="18">
        <v>113.3</v>
      </c>
      <c r="L23" s="18">
        <v>99.730235124155428</v>
      </c>
      <c r="M23" s="18">
        <v>2.2294899999999999E-2</v>
      </c>
      <c r="N23" s="76">
        <v>-2.6</v>
      </c>
      <c r="O23" s="76">
        <v>-6.1</v>
      </c>
      <c r="P23" s="74">
        <v>-2.42</v>
      </c>
      <c r="Q23" s="74">
        <v>-4.63</v>
      </c>
      <c r="R23" s="89"/>
      <c r="V23" s="84"/>
      <c r="W23" s="83"/>
      <c r="X23" s="83"/>
    </row>
    <row r="24" spans="2:24">
      <c r="B24" s="88">
        <v>45019.401388888888</v>
      </c>
      <c r="C24" s="18">
        <v>2</v>
      </c>
      <c r="D24" s="19">
        <v>-2.7</v>
      </c>
      <c r="E24" s="19">
        <v>-6.9</v>
      </c>
      <c r="F24" s="18">
        <f t="shared" si="0"/>
        <v>14.700000000000001</v>
      </c>
      <c r="G24" s="20">
        <v>21.2</v>
      </c>
      <c r="H24" s="20">
        <f>0.0283168466*'Hailey''s Data'!I22</f>
        <v>0.86932719061999997</v>
      </c>
      <c r="I24" s="18" t="s">
        <v>8</v>
      </c>
      <c r="J24" s="18">
        <v>270</v>
      </c>
      <c r="K24" s="18">
        <v>113.3</v>
      </c>
      <c r="L24" s="18">
        <v>19.584723559777814</v>
      </c>
      <c r="M24" s="18">
        <v>5.8700500000000003E-2</v>
      </c>
      <c r="N24" s="76">
        <v>-2.6</v>
      </c>
      <c r="O24" s="76">
        <v>-6.1</v>
      </c>
      <c r="P24" s="74">
        <v>-2.42</v>
      </c>
      <c r="Q24" s="74">
        <v>-4.63</v>
      </c>
      <c r="R24" s="89"/>
      <c r="V24" s="84"/>
      <c r="W24" s="83"/>
      <c r="X24" s="83"/>
    </row>
    <row r="25" spans="2:24">
      <c r="B25" s="88">
        <v>45028.354166666664</v>
      </c>
      <c r="C25" s="18">
        <v>4</v>
      </c>
      <c r="D25" s="19">
        <v>-2.2999999999999998</v>
      </c>
      <c r="E25" s="19">
        <v>-4.5999999999999996</v>
      </c>
      <c r="F25" s="18">
        <f t="shared" si="0"/>
        <v>13.799999999999999</v>
      </c>
      <c r="G25" s="20">
        <v>21.6</v>
      </c>
      <c r="H25" s="20">
        <f>0.0283168466*'Hailey''s Data'!I23</f>
        <v>0.63146567918000007</v>
      </c>
      <c r="I25" s="18" t="s">
        <v>8</v>
      </c>
      <c r="J25" s="18">
        <v>80</v>
      </c>
      <c r="K25" s="18">
        <v>2.2999999999999998</v>
      </c>
      <c r="L25" s="18">
        <v>61.097856031175965</v>
      </c>
      <c r="M25" s="18">
        <v>4.6169500000000002E-2</v>
      </c>
      <c r="N25" s="76">
        <v>-2.6</v>
      </c>
      <c r="O25" s="76">
        <v>-6.1</v>
      </c>
      <c r="P25" s="74">
        <v>-2.42</v>
      </c>
      <c r="Q25" s="74">
        <v>-4.63</v>
      </c>
      <c r="R25" s="89"/>
      <c r="V25" s="84"/>
      <c r="W25" s="83"/>
      <c r="X25" s="83"/>
    </row>
    <row r="26" spans="2:24">
      <c r="B26" s="88">
        <v>45028.368750000001</v>
      </c>
      <c r="C26" s="18">
        <v>5</v>
      </c>
      <c r="D26" s="19">
        <v>-2.2999999999999998</v>
      </c>
      <c r="E26" s="19">
        <v>-4.5</v>
      </c>
      <c r="F26" s="18">
        <f t="shared" si="0"/>
        <v>13.899999999999999</v>
      </c>
      <c r="G26" s="20">
        <v>21.8</v>
      </c>
      <c r="H26" s="20">
        <f>0.0283168466*'Hailey''s Data'!I24</f>
        <v>0.56916861666000007</v>
      </c>
      <c r="I26" s="18" t="s">
        <v>8</v>
      </c>
      <c r="J26" s="18">
        <v>80</v>
      </c>
      <c r="K26" s="18">
        <v>2.2999999999999998</v>
      </c>
      <c r="L26" s="18">
        <v>1.9012602058959327</v>
      </c>
      <c r="M26" s="18">
        <v>2.20571E-2</v>
      </c>
      <c r="N26" s="76">
        <v>-2.6</v>
      </c>
      <c r="O26" s="76">
        <v>-6.1</v>
      </c>
      <c r="P26" s="74">
        <v>-2.42</v>
      </c>
      <c r="Q26" s="74">
        <v>-4.63</v>
      </c>
      <c r="R26" s="89"/>
      <c r="V26" s="84"/>
      <c r="W26" s="83"/>
      <c r="X26" s="83"/>
    </row>
    <row r="27" spans="2:24">
      <c r="B27" s="88">
        <v>45030.337500000001</v>
      </c>
      <c r="C27" s="18">
        <v>6</v>
      </c>
      <c r="D27" s="19">
        <v>-2.1</v>
      </c>
      <c r="E27" s="19">
        <v>-3.8</v>
      </c>
      <c r="F27" s="18">
        <f t="shared" si="0"/>
        <v>13</v>
      </c>
      <c r="G27" s="20">
        <v>21.4</v>
      </c>
      <c r="H27" s="20">
        <f>0.0283168466*'Hailey''s Data'!I25</f>
        <v>0.24125953303199998</v>
      </c>
      <c r="I27" s="18" t="s">
        <v>8</v>
      </c>
      <c r="J27" s="18">
        <v>80</v>
      </c>
      <c r="K27" s="18">
        <v>20.8</v>
      </c>
      <c r="L27" s="18">
        <v>4.3584266639816907</v>
      </c>
      <c r="M27" s="18">
        <v>1.02437E-2</v>
      </c>
      <c r="N27" s="76">
        <v>-2.6</v>
      </c>
      <c r="O27" s="76">
        <v>-6.1</v>
      </c>
      <c r="P27" s="74">
        <v>-2.42</v>
      </c>
      <c r="Q27" s="74">
        <v>-4.63</v>
      </c>
      <c r="R27" s="89"/>
      <c r="V27" s="84"/>
      <c r="W27" s="83"/>
      <c r="X27" s="83"/>
    </row>
    <row r="28" spans="2:24">
      <c r="B28" s="88">
        <v>45030.351388888892</v>
      </c>
      <c r="C28" s="18">
        <v>6</v>
      </c>
      <c r="D28" s="19">
        <v>-2.1</v>
      </c>
      <c r="E28" s="19">
        <v>-3.6</v>
      </c>
      <c r="F28" s="18">
        <f t="shared" si="0"/>
        <v>13.200000000000001</v>
      </c>
      <c r="G28" s="20">
        <v>21.5</v>
      </c>
      <c r="H28" s="20">
        <f>0.0283168466*'Hailey''s Data'!I26</f>
        <v>0.24125953303199998</v>
      </c>
      <c r="I28" s="18" t="s">
        <v>8</v>
      </c>
      <c r="J28" s="18">
        <v>80</v>
      </c>
      <c r="K28" s="18">
        <v>20.8</v>
      </c>
      <c r="L28" s="18">
        <v>0.5232811927965666</v>
      </c>
      <c r="M28" s="18">
        <v>1.02437E-2</v>
      </c>
      <c r="N28" s="76">
        <v>-2.6</v>
      </c>
      <c r="O28" s="76">
        <v>-6.1</v>
      </c>
      <c r="P28" s="74">
        <v>-2.42</v>
      </c>
      <c r="Q28" s="74">
        <v>-4.63</v>
      </c>
      <c r="R28" s="89"/>
      <c r="V28" s="84"/>
      <c r="W28" s="83"/>
      <c r="X28" s="83"/>
    </row>
    <row r="29" spans="2:24">
      <c r="B29" s="88">
        <v>45033.361111111109</v>
      </c>
      <c r="C29" s="18">
        <v>7</v>
      </c>
      <c r="D29" s="19">
        <v>-2.2000000000000002</v>
      </c>
      <c r="E29" s="19">
        <v>-4.5999999999999996</v>
      </c>
      <c r="F29" s="18">
        <f t="shared" si="0"/>
        <v>13.000000000000002</v>
      </c>
      <c r="G29" s="20">
        <v>22.5</v>
      </c>
      <c r="H29" s="20">
        <f>0.0283168466*'Hailey''s Data'!I27</f>
        <v>0.26362984184600002</v>
      </c>
      <c r="I29" s="18" t="s">
        <v>8</v>
      </c>
      <c r="J29" s="18">
        <v>5</v>
      </c>
      <c r="K29" s="18">
        <v>2.2999999999999998</v>
      </c>
      <c r="L29" s="18">
        <v>2.9044506573171245</v>
      </c>
      <c r="M29" s="18">
        <v>9.4680600000000004E-3</v>
      </c>
      <c r="N29" s="76">
        <v>-2.6</v>
      </c>
      <c r="O29" s="76">
        <v>-6.1</v>
      </c>
      <c r="P29" s="74">
        <v>-2.42</v>
      </c>
      <c r="Q29" s="74">
        <v>-4.63</v>
      </c>
      <c r="R29" s="89"/>
      <c r="V29" s="84"/>
      <c r="W29" s="83"/>
      <c r="X29" s="83"/>
    </row>
    <row r="30" spans="2:24">
      <c r="B30" s="88">
        <v>45033.375</v>
      </c>
      <c r="C30" s="18">
        <v>7</v>
      </c>
      <c r="D30" s="19">
        <v>-2.2000000000000002</v>
      </c>
      <c r="E30" s="19">
        <v>-4.7</v>
      </c>
      <c r="F30" s="18">
        <f t="shared" si="0"/>
        <v>12.900000000000002</v>
      </c>
      <c r="G30" s="20">
        <v>23.8</v>
      </c>
      <c r="H30" s="20">
        <f>0.0283168466*'Hailey''s Data'!I28</f>
        <v>0.26362984184600002</v>
      </c>
      <c r="I30" s="18" t="s">
        <v>8</v>
      </c>
      <c r="J30" s="18">
        <v>5</v>
      </c>
      <c r="K30" s="18">
        <v>2.2999999999999998</v>
      </c>
      <c r="L30" s="18">
        <v>2.9053851066039282</v>
      </c>
      <c r="M30" s="18">
        <v>9.4680600000000004E-3</v>
      </c>
      <c r="N30" s="76">
        <v>-2.6</v>
      </c>
      <c r="O30" s="76">
        <v>-6.1</v>
      </c>
      <c r="P30" s="74">
        <v>-2.42</v>
      </c>
      <c r="Q30" s="74">
        <v>-4.63</v>
      </c>
      <c r="R30" s="89"/>
      <c r="V30" s="84"/>
      <c r="W30" s="83"/>
      <c r="X30" s="83"/>
    </row>
    <row r="31" spans="2:24">
      <c r="B31" s="88">
        <v>45042.376388888886</v>
      </c>
      <c r="C31" s="18">
        <v>1</v>
      </c>
      <c r="D31" s="19">
        <v>-2.6</v>
      </c>
      <c r="E31" s="19">
        <v>-5.4</v>
      </c>
      <c r="F31" s="18">
        <f t="shared" si="0"/>
        <v>15.4</v>
      </c>
      <c r="G31" s="20">
        <v>20.399999999999999</v>
      </c>
      <c r="H31" s="20">
        <f>0.0283168466*'Hailey''s Data'!I29</f>
        <v>0.12799214663199998</v>
      </c>
      <c r="I31" s="18" t="s">
        <v>8</v>
      </c>
      <c r="J31" s="18">
        <v>460</v>
      </c>
      <c r="K31" s="18">
        <v>8.1</v>
      </c>
      <c r="L31" s="18">
        <v>4.1303361874551765</v>
      </c>
      <c r="M31" s="18">
        <v>0.10097200000000001</v>
      </c>
      <c r="N31" s="76">
        <v>-1.3</v>
      </c>
      <c r="O31" s="76">
        <v>1.5</v>
      </c>
      <c r="P31" s="74">
        <v>-2.42</v>
      </c>
      <c r="Q31" s="74">
        <v>-4.63</v>
      </c>
      <c r="R31" s="89"/>
      <c r="V31" s="84"/>
      <c r="W31" s="83"/>
      <c r="X31" s="83"/>
    </row>
    <row r="32" spans="2:24">
      <c r="B32" s="88">
        <v>45058.451388888891</v>
      </c>
      <c r="C32" s="18">
        <v>7</v>
      </c>
      <c r="D32" s="19">
        <v>-2.4</v>
      </c>
      <c r="E32" s="19">
        <v>-4.7</v>
      </c>
      <c r="F32" s="18">
        <f t="shared" si="0"/>
        <v>14.5</v>
      </c>
      <c r="G32" s="20">
        <v>24.6</v>
      </c>
      <c r="H32" s="20">
        <f>0.0283168466*'Hailey''s Data'!I30</f>
        <v>0.12799214663199998</v>
      </c>
      <c r="I32" s="18" t="s">
        <v>8</v>
      </c>
      <c r="J32" s="18">
        <v>5</v>
      </c>
      <c r="K32" s="18">
        <v>43.2</v>
      </c>
      <c r="L32" s="18">
        <v>1.4801877348166155</v>
      </c>
      <c r="M32" s="18">
        <v>2.3722799999999999E-2</v>
      </c>
      <c r="N32" s="76">
        <v>-1.8</v>
      </c>
      <c r="O32" s="76">
        <v>-0.1</v>
      </c>
      <c r="P32" s="74">
        <v>-2.42</v>
      </c>
      <c r="Q32" s="74">
        <v>-4.63</v>
      </c>
      <c r="R32" s="89"/>
      <c r="V32" s="84"/>
      <c r="W32" s="83"/>
      <c r="X32" s="83"/>
    </row>
    <row r="33" spans="2:24">
      <c r="B33" s="88">
        <v>45061.423611111109</v>
      </c>
      <c r="C33" s="18">
        <v>7</v>
      </c>
      <c r="D33" s="19">
        <v>-2.4</v>
      </c>
      <c r="E33" s="19">
        <v>-4.5999999999999996</v>
      </c>
      <c r="F33" s="18">
        <f t="shared" si="0"/>
        <v>14.6</v>
      </c>
      <c r="G33" s="20">
        <v>23.1</v>
      </c>
      <c r="H33" s="20">
        <f>0.0283168466*'Hailey''s Data'!I31</f>
        <v>0.12799214663199998</v>
      </c>
      <c r="I33" s="18" t="s">
        <v>8</v>
      </c>
      <c r="J33" s="18">
        <v>5</v>
      </c>
      <c r="K33" s="18">
        <v>2.5</v>
      </c>
      <c r="L33" s="18">
        <v>0.49318300986092667</v>
      </c>
      <c r="M33" s="18">
        <v>2.3722799999999999E-2</v>
      </c>
      <c r="N33" s="76">
        <v>-1.8</v>
      </c>
      <c r="O33" s="76">
        <v>-0.1</v>
      </c>
      <c r="P33" s="74">
        <v>-2.42</v>
      </c>
      <c r="Q33" s="74">
        <v>-4.63</v>
      </c>
      <c r="R33" s="89"/>
      <c r="V33" s="84"/>
      <c r="W33" s="83"/>
      <c r="X33" s="83"/>
    </row>
    <row r="34" spans="2:24">
      <c r="B34" s="88">
        <v>45061.453472222223</v>
      </c>
      <c r="C34" s="18">
        <v>6</v>
      </c>
      <c r="D34" s="19">
        <v>-2.1</v>
      </c>
      <c r="E34" s="19">
        <v>-4.5</v>
      </c>
      <c r="F34" s="18">
        <f t="shared" si="0"/>
        <v>12.3</v>
      </c>
      <c r="G34" s="20">
        <v>21.3</v>
      </c>
      <c r="H34" s="20">
        <f>0.0283168466*'Hailey''s Data'!I32</f>
        <v>0.429283394456</v>
      </c>
      <c r="I34" s="18" t="s">
        <v>8</v>
      </c>
      <c r="J34" s="18">
        <v>80</v>
      </c>
      <c r="K34" s="18">
        <v>2.5</v>
      </c>
      <c r="L34" s="18">
        <v>3.3746018342091286</v>
      </c>
      <c r="M34" s="18">
        <v>2.4759099999999999E-2</v>
      </c>
      <c r="N34" s="76">
        <v>-1.8</v>
      </c>
      <c r="O34" s="76">
        <v>-0.1</v>
      </c>
      <c r="P34" s="74">
        <v>-2.42</v>
      </c>
      <c r="Q34" s="74">
        <v>-4.63</v>
      </c>
      <c r="R34" s="89"/>
      <c r="V34" s="84"/>
      <c r="W34" s="83"/>
      <c r="X34" s="83"/>
    </row>
    <row r="35" spans="2:24">
      <c r="B35" s="88">
        <v>45061.46875</v>
      </c>
      <c r="C35" s="18">
        <v>6</v>
      </c>
      <c r="D35" s="19">
        <v>-2.2999999999999998</v>
      </c>
      <c r="E35" s="19">
        <v>-4.3</v>
      </c>
      <c r="F35" s="18">
        <f t="shared" ref="F35:F66" si="1">E35 - (8*D35)</f>
        <v>14.099999999999998</v>
      </c>
      <c r="G35" s="20">
        <v>21.2</v>
      </c>
      <c r="H35" s="20">
        <f>0.0283168466*'Hailey''s Data'!I33</f>
        <v>0.32281205124000001</v>
      </c>
      <c r="I35" s="18" t="s">
        <v>8</v>
      </c>
      <c r="J35" s="18">
        <v>80</v>
      </c>
      <c r="K35" s="18">
        <v>2.5</v>
      </c>
      <c r="L35" s="18">
        <v>4.4814305633763478</v>
      </c>
      <c r="M35" s="18">
        <v>2.4759099999999999E-2</v>
      </c>
      <c r="N35" s="76">
        <v>-1.8</v>
      </c>
      <c r="O35" s="76">
        <v>-0.1</v>
      </c>
      <c r="P35" s="74">
        <v>-2.42</v>
      </c>
      <c r="Q35" s="74">
        <v>-4.63</v>
      </c>
      <c r="R35" s="89"/>
      <c r="V35" s="84"/>
      <c r="W35" s="83"/>
      <c r="X35" s="83"/>
    </row>
    <row r="36" spans="2:24">
      <c r="B36" s="88">
        <v>45061.486111111109</v>
      </c>
      <c r="C36" s="18">
        <v>5</v>
      </c>
      <c r="D36" s="19">
        <v>-2.4</v>
      </c>
      <c r="E36" s="19">
        <v>-4.0999999999999996</v>
      </c>
      <c r="F36" s="18">
        <f t="shared" si="1"/>
        <v>15.1</v>
      </c>
      <c r="G36" s="20">
        <v>23.6</v>
      </c>
      <c r="H36" s="20">
        <f>0.0283168466*'Hailey''s Data'!I34</f>
        <v>0.31431699726000001</v>
      </c>
      <c r="I36" s="18" t="s">
        <v>8</v>
      </c>
      <c r="J36" s="18">
        <v>80</v>
      </c>
      <c r="K36" s="18">
        <v>2.5</v>
      </c>
      <c r="L36" s="18">
        <v>5.279917454141966</v>
      </c>
      <c r="M36" s="18">
        <v>6.5966999999999998E-2</v>
      </c>
      <c r="N36" s="76">
        <v>-1.8</v>
      </c>
      <c r="O36" s="76">
        <v>-0.1</v>
      </c>
      <c r="P36" s="74">
        <v>-2.42</v>
      </c>
      <c r="Q36" s="74">
        <v>-4.63</v>
      </c>
      <c r="R36" s="89"/>
      <c r="V36" s="84"/>
      <c r="W36" s="83"/>
      <c r="X36" s="83"/>
    </row>
    <row r="37" spans="2:24">
      <c r="B37" s="88">
        <v>45062.475694444445</v>
      </c>
      <c r="C37" s="18">
        <v>2</v>
      </c>
      <c r="D37" s="19">
        <v>-2.6</v>
      </c>
      <c r="E37" s="19">
        <v>-0.2</v>
      </c>
      <c r="F37" s="18">
        <f t="shared" si="1"/>
        <v>20.6</v>
      </c>
      <c r="G37" s="20">
        <v>20.2</v>
      </c>
      <c r="H37" s="20">
        <f>0.0283168466*'Hailey''s Data'!I35</f>
        <v>0.18604168216200001</v>
      </c>
      <c r="I37" s="18" t="s">
        <v>8</v>
      </c>
      <c r="J37" s="18">
        <v>270</v>
      </c>
      <c r="K37" s="18">
        <v>2</v>
      </c>
      <c r="L37" s="18">
        <v>5.2888139051904473</v>
      </c>
      <c r="M37" s="18">
        <v>0.168964</v>
      </c>
      <c r="N37" s="76">
        <v>-1.8</v>
      </c>
      <c r="O37" s="76">
        <v>-0.1</v>
      </c>
      <c r="P37" s="74">
        <v>-2.42</v>
      </c>
      <c r="Q37" s="74">
        <v>-4.63</v>
      </c>
      <c r="R37" s="89"/>
      <c r="V37" s="84"/>
      <c r="W37" s="83"/>
      <c r="X37" s="83"/>
    </row>
    <row r="38" spans="2:24">
      <c r="B38" s="88">
        <v>45062.489583333336</v>
      </c>
      <c r="C38" s="18">
        <v>3</v>
      </c>
      <c r="D38" s="19">
        <v>-2.4</v>
      </c>
      <c r="E38" s="19">
        <v>-0.4</v>
      </c>
      <c r="F38" s="18">
        <f t="shared" si="1"/>
        <v>18.8</v>
      </c>
      <c r="G38" s="20">
        <v>20.5</v>
      </c>
      <c r="H38" s="20">
        <f>0.0283168466*'Hailey''s Data'!I36</f>
        <v>0.20671298018000001</v>
      </c>
      <c r="I38" s="18" t="s">
        <v>8</v>
      </c>
      <c r="J38" s="18">
        <v>230</v>
      </c>
      <c r="K38" s="18">
        <v>2</v>
      </c>
      <c r="L38" s="18">
        <v>3.2556797491547771</v>
      </c>
      <c r="M38" s="18">
        <v>6.5155400000000002E-2</v>
      </c>
      <c r="N38" s="76">
        <v>-1.8</v>
      </c>
      <c r="O38" s="76">
        <v>-0.1</v>
      </c>
      <c r="P38" s="74">
        <v>-2.42</v>
      </c>
      <c r="Q38" s="74">
        <v>-4.63</v>
      </c>
      <c r="R38" s="89"/>
      <c r="V38" s="84"/>
      <c r="W38" s="83"/>
      <c r="X38" s="83"/>
    </row>
    <row r="39" spans="2:24">
      <c r="B39" s="88">
        <v>45062.53125</v>
      </c>
      <c r="C39" s="18">
        <v>4</v>
      </c>
      <c r="D39" s="19">
        <v>-2.2999999999999998</v>
      </c>
      <c r="E39" s="19">
        <v>0.3</v>
      </c>
      <c r="F39" s="18">
        <f t="shared" si="1"/>
        <v>18.7</v>
      </c>
      <c r="G39" s="20">
        <v>22.9</v>
      </c>
      <c r="H39" s="20">
        <f>0.0283168466*'Hailey''s Data'!I37</f>
        <v>0.19963376853000001</v>
      </c>
      <c r="I39" s="18" t="s">
        <v>8</v>
      </c>
      <c r="J39" s="18">
        <v>80</v>
      </c>
      <c r="K39" s="18">
        <v>2</v>
      </c>
      <c r="L39" s="18">
        <v>6.8177428050488595</v>
      </c>
      <c r="M39" s="18">
        <v>0.22280800000000001</v>
      </c>
      <c r="N39" s="76">
        <v>-1.8</v>
      </c>
      <c r="O39" s="76">
        <v>-0.1</v>
      </c>
      <c r="P39" s="74">
        <v>-2.42</v>
      </c>
      <c r="Q39" s="74">
        <v>-4.63</v>
      </c>
      <c r="R39" s="89"/>
      <c r="V39" s="84"/>
      <c r="W39" s="83"/>
      <c r="X39" s="83"/>
    </row>
    <row r="40" spans="2:24">
      <c r="B40" s="88">
        <v>45063.464583333334</v>
      </c>
      <c r="C40" s="18">
        <v>1</v>
      </c>
      <c r="D40" s="19">
        <v>-3</v>
      </c>
      <c r="E40" s="19">
        <v>-4.3</v>
      </c>
      <c r="F40" s="18">
        <f t="shared" si="1"/>
        <v>19.7</v>
      </c>
      <c r="G40" s="20">
        <v>19.3</v>
      </c>
      <c r="H40" s="20">
        <f>0.0283168466*'Hailey''s Data'!I38</f>
        <v>0.18604168216200001</v>
      </c>
      <c r="I40" s="18" t="s">
        <v>8</v>
      </c>
      <c r="J40" s="18">
        <v>460</v>
      </c>
      <c r="K40" s="18">
        <v>32.799999999999997</v>
      </c>
      <c r="L40" s="18">
        <v>1.6234425459524009</v>
      </c>
      <c r="M40" s="18">
        <v>0.43688300000000002</v>
      </c>
      <c r="N40" s="76">
        <v>-1.8</v>
      </c>
      <c r="O40" s="76">
        <v>-0.1</v>
      </c>
      <c r="P40" s="74">
        <v>-2.42</v>
      </c>
      <c r="Q40" s="74">
        <v>-4.63</v>
      </c>
      <c r="R40" s="89"/>
      <c r="V40" s="84"/>
      <c r="W40" s="83"/>
      <c r="X40" s="83"/>
    </row>
    <row r="41" spans="2:24">
      <c r="B41" s="88">
        <v>45063.486111111109</v>
      </c>
      <c r="C41" s="18">
        <v>1</v>
      </c>
      <c r="D41" s="19">
        <v>-2.6</v>
      </c>
      <c r="E41" s="19">
        <v>-3.8</v>
      </c>
      <c r="F41" s="18">
        <f t="shared" si="1"/>
        <v>17</v>
      </c>
      <c r="G41" s="20">
        <v>19.899999999999999</v>
      </c>
      <c r="H41" s="20">
        <f>0.0283168466*'Hailey''s Data'!I39</f>
        <v>0.70225779568000002</v>
      </c>
      <c r="I41" s="18" t="s">
        <v>8</v>
      </c>
      <c r="J41" s="18">
        <v>460</v>
      </c>
      <c r="K41" s="18">
        <v>32.799999999999997</v>
      </c>
      <c r="L41" s="18">
        <v>0.59705985160546038</v>
      </c>
      <c r="M41" s="18">
        <v>0.43688300000000002</v>
      </c>
      <c r="N41" s="76">
        <v>-1.8</v>
      </c>
      <c r="O41" s="76">
        <v>-0.1</v>
      </c>
      <c r="P41" s="74">
        <v>-2.42</v>
      </c>
      <c r="Q41" s="74">
        <v>-4.63</v>
      </c>
      <c r="R41" s="89"/>
    </row>
    <row r="42" spans="2:24">
      <c r="B42" s="88">
        <v>45077.625</v>
      </c>
      <c r="C42" s="18">
        <v>7</v>
      </c>
      <c r="D42" s="19">
        <v>-1.3</v>
      </c>
      <c r="E42" s="19">
        <v>-1.9</v>
      </c>
      <c r="F42" s="18">
        <f t="shared" si="1"/>
        <v>8.5</v>
      </c>
      <c r="G42" s="20">
        <v>30</v>
      </c>
      <c r="H42" s="20">
        <f>0.0283168466*'Hailey''s Data'!I40</f>
        <v>2.0133277932599998</v>
      </c>
      <c r="I42" s="18" t="s">
        <v>8</v>
      </c>
      <c r="J42" s="18">
        <v>5</v>
      </c>
      <c r="K42" s="18">
        <v>4.3</v>
      </c>
      <c r="L42" s="18">
        <v>1.6837387823675622</v>
      </c>
      <c r="M42" s="18">
        <v>2.53764E-2</v>
      </c>
      <c r="N42" s="76">
        <v>-1.7</v>
      </c>
      <c r="O42" s="76">
        <v>0.1</v>
      </c>
      <c r="P42" s="74">
        <v>-2.42</v>
      </c>
      <c r="Q42" s="74">
        <v>-4.63</v>
      </c>
      <c r="R42" s="89"/>
    </row>
    <row r="43" spans="2:24">
      <c r="B43" s="88">
        <v>45077.635416666664</v>
      </c>
      <c r="C43" s="18">
        <v>7</v>
      </c>
      <c r="D43" s="19">
        <v>-2.2999999999999998</v>
      </c>
      <c r="E43" s="19">
        <v>-4.4000000000000004</v>
      </c>
      <c r="F43" s="18">
        <f t="shared" si="1"/>
        <v>13.999999999999998</v>
      </c>
      <c r="G43" s="20">
        <v>27.7</v>
      </c>
      <c r="H43" s="20">
        <f>0.0283168466*'Hailey''s Data'!I41</f>
        <v>1.3422185288399999</v>
      </c>
      <c r="I43" s="18" t="s">
        <v>8</v>
      </c>
      <c r="J43" s="18">
        <v>5</v>
      </c>
      <c r="K43" s="18">
        <v>4.3</v>
      </c>
      <c r="L43" s="18">
        <v>2.7218277376255453</v>
      </c>
      <c r="M43" s="18">
        <v>2.53764E-2</v>
      </c>
      <c r="N43" s="76">
        <v>-1.7</v>
      </c>
      <c r="O43" s="76">
        <v>0.1</v>
      </c>
      <c r="P43" s="74">
        <v>-2.42</v>
      </c>
      <c r="Q43" s="74">
        <v>-4.63</v>
      </c>
      <c r="R43" s="89"/>
    </row>
    <row r="44" spans="2:24">
      <c r="B44" s="88">
        <v>45077.651388888888</v>
      </c>
      <c r="C44" s="18">
        <v>6</v>
      </c>
      <c r="D44" s="19">
        <v>-2.4</v>
      </c>
      <c r="E44" s="19">
        <v>-4.9000000000000004</v>
      </c>
      <c r="F44" s="18">
        <f t="shared" si="1"/>
        <v>14.299999999999999</v>
      </c>
      <c r="G44" s="20">
        <v>24.5</v>
      </c>
      <c r="H44" s="20">
        <f>0.0283168466*'Hailey''s Data'!I42</f>
        <v>8.9481235256000005E-2</v>
      </c>
      <c r="I44" s="18" t="s">
        <v>8</v>
      </c>
      <c r="J44" s="18">
        <v>80</v>
      </c>
      <c r="K44" s="18">
        <v>4.3</v>
      </c>
      <c r="L44" s="18">
        <v>8.4592229966275188</v>
      </c>
      <c r="M44" s="18">
        <v>2.5610000000000001E-2</v>
      </c>
      <c r="N44" s="76">
        <v>-1.7</v>
      </c>
      <c r="O44" s="76">
        <v>0.1</v>
      </c>
      <c r="P44" s="74">
        <v>-2.42</v>
      </c>
      <c r="Q44" s="74">
        <v>-4.63</v>
      </c>
      <c r="R44" s="89"/>
    </row>
    <row r="45" spans="2:24">
      <c r="B45" s="88">
        <v>45078.604166666664</v>
      </c>
      <c r="C45" s="18">
        <v>6</v>
      </c>
      <c r="D45" s="19">
        <v>-2.4</v>
      </c>
      <c r="E45" s="19">
        <v>-5.4</v>
      </c>
      <c r="F45" s="18">
        <f t="shared" si="1"/>
        <v>13.799999999999999</v>
      </c>
      <c r="G45" s="20">
        <v>24.4</v>
      </c>
      <c r="H45" s="20">
        <f>0.0283168466*'Hailey''s Data'!I43</f>
        <v>0.31148531260000001</v>
      </c>
      <c r="I45" s="18" t="s">
        <v>8</v>
      </c>
      <c r="J45" s="18">
        <v>80</v>
      </c>
      <c r="K45" s="18">
        <v>27.9</v>
      </c>
      <c r="L45" s="18">
        <v>6.0605773439452086</v>
      </c>
      <c r="M45" s="18">
        <v>2.0521899999999999E-2</v>
      </c>
      <c r="N45" s="76">
        <v>-1.6</v>
      </c>
      <c r="O45" s="76">
        <v>0.3</v>
      </c>
      <c r="P45" s="74">
        <v>-2.42</v>
      </c>
      <c r="Q45" s="74">
        <v>-4.63</v>
      </c>
      <c r="R45" s="89"/>
    </row>
    <row r="46" spans="2:24">
      <c r="B46" s="88">
        <v>45078.614583333336</v>
      </c>
      <c r="C46" s="18">
        <v>5</v>
      </c>
      <c r="D46" s="19">
        <v>-2.2999999999999998</v>
      </c>
      <c r="E46" s="19">
        <v>-4</v>
      </c>
      <c r="F46" s="18">
        <f t="shared" si="1"/>
        <v>14.399999999999999</v>
      </c>
      <c r="G46" s="20">
        <v>25.3</v>
      </c>
      <c r="H46" s="20">
        <f>0.0283168466*'Hailey''s Data'!I44</f>
        <v>0.10505550088600001</v>
      </c>
      <c r="I46" s="18" t="s">
        <v>8</v>
      </c>
      <c r="J46" s="18">
        <v>80</v>
      </c>
      <c r="K46" s="18">
        <v>27.9</v>
      </c>
      <c r="L46" s="18">
        <v>13.063034755296835</v>
      </c>
      <c r="M46" s="18">
        <v>2.15534E-2</v>
      </c>
      <c r="N46" s="76">
        <v>-1.6</v>
      </c>
      <c r="O46" s="76">
        <v>0.3</v>
      </c>
      <c r="P46" s="74">
        <v>-2.42</v>
      </c>
      <c r="Q46" s="74">
        <v>-4.63</v>
      </c>
      <c r="R46" s="89"/>
    </row>
    <row r="47" spans="2:24">
      <c r="B47" s="88">
        <v>45078.627083333333</v>
      </c>
      <c r="C47" s="18">
        <v>4</v>
      </c>
      <c r="D47" s="19">
        <v>-2.2999999999999998</v>
      </c>
      <c r="E47" s="19">
        <v>-4.0999999999999996</v>
      </c>
      <c r="F47" s="18">
        <f t="shared" si="1"/>
        <v>14.299999999999999</v>
      </c>
      <c r="G47" s="20">
        <v>23.9</v>
      </c>
      <c r="H47" s="20">
        <f>0.0283168466*'Hailey''s Data'!I45</f>
        <v>0.10505550088600001</v>
      </c>
      <c r="I47" s="18" t="s">
        <v>8</v>
      </c>
      <c r="J47" s="18">
        <v>80</v>
      </c>
      <c r="K47" s="18">
        <v>27.9</v>
      </c>
      <c r="L47" s="18">
        <v>13.425378674759294</v>
      </c>
      <c r="M47" s="18">
        <v>0.204565</v>
      </c>
      <c r="N47" s="76">
        <v>-1.6</v>
      </c>
      <c r="O47" s="76">
        <v>0.3</v>
      </c>
      <c r="P47" s="74">
        <v>-2.42</v>
      </c>
      <c r="Q47" s="74">
        <v>-4.63</v>
      </c>
      <c r="R47" s="89"/>
    </row>
    <row r="48" spans="2:24">
      <c r="B48" s="88">
        <v>45078.638194444444</v>
      </c>
      <c r="C48" s="18">
        <v>3</v>
      </c>
      <c r="D48" s="19">
        <v>-2.1</v>
      </c>
      <c r="E48" s="19">
        <v>-3.1</v>
      </c>
      <c r="F48" s="18">
        <f t="shared" si="1"/>
        <v>13.700000000000001</v>
      </c>
      <c r="G48" s="20">
        <v>23.4</v>
      </c>
      <c r="H48" s="20">
        <f>0.0283168466*'Hailey''s Data'!I46</f>
        <v>0.13903571680600002</v>
      </c>
      <c r="I48" s="18" t="s">
        <v>8</v>
      </c>
      <c r="J48" s="18">
        <v>230</v>
      </c>
      <c r="K48" s="18">
        <v>27.9</v>
      </c>
      <c r="L48" s="18">
        <v>6.5876921508845765</v>
      </c>
      <c r="M48" s="18">
        <v>5.8530400000000003E-2</v>
      </c>
      <c r="N48" s="76">
        <v>-1.6</v>
      </c>
      <c r="O48" s="76">
        <v>0.3</v>
      </c>
      <c r="P48" s="74">
        <v>-2.42</v>
      </c>
      <c r="Q48" s="74">
        <v>-4.63</v>
      </c>
      <c r="R48" s="89"/>
    </row>
    <row r="49" spans="2:18">
      <c r="B49" s="88">
        <v>45079.39166666667</v>
      </c>
      <c r="C49" s="18">
        <v>2</v>
      </c>
      <c r="D49" s="19">
        <v>-2.5</v>
      </c>
      <c r="E49" s="19">
        <v>-4.2</v>
      </c>
      <c r="F49" s="18">
        <f t="shared" si="1"/>
        <v>15.8</v>
      </c>
      <c r="G49" s="20">
        <v>21.1</v>
      </c>
      <c r="H49" s="20">
        <f>0.0283168466*'Hailey''s Data'!I47</f>
        <v>0.13337234748599999</v>
      </c>
      <c r="I49" s="18" t="s">
        <v>8</v>
      </c>
      <c r="J49" s="18">
        <v>270</v>
      </c>
      <c r="K49" s="18">
        <v>28.4</v>
      </c>
      <c r="L49" s="18">
        <v>6.066671952579048</v>
      </c>
      <c r="M49" s="18">
        <v>0.15256500000000001</v>
      </c>
      <c r="N49" s="76">
        <v>-1.6</v>
      </c>
      <c r="O49" s="76">
        <v>0.3</v>
      </c>
      <c r="P49" s="74">
        <v>-2.42</v>
      </c>
      <c r="Q49" s="74">
        <v>-4.63</v>
      </c>
      <c r="R49" s="89"/>
    </row>
    <row r="50" spans="2:18">
      <c r="B50" s="88">
        <v>45079.416666666664</v>
      </c>
      <c r="C50" s="18">
        <v>1</v>
      </c>
      <c r="D50" s="19">
        <v>-2.5</v>
      </c>
      <c r="E50" s="19">
        <v>-4.2</v>
      </c>
      <c r="F50" s="18">
        <f t="shared" si="1"/>
        <v>15.8</v>
      </c>
      <c r="G50" s="20">
        <v>20.5</v>
      </c>
      <c r="H50" s="20">
        <f>0.0283168466*'Hailey''s Data'!I48</f>
        <v>0.14498225459200001</v>
      </c>
      <c r="I50" s="18" t="s">
        <v>8</v>
      </c>
      <c r="J50" s="18">
        <v>460</v>
      </c>
      <c r="K50" s="18">
        <v>28.4</v>
      </c>
      <c r="L50" s="18">
        <v>0.23167427340380845</v>
      </c>
      <c r="M50" s="18">
        <v>0.31035499999999999</v>
      </c>
      <c r="N50" s="76">
        <v>-1.6</v>
      </c>
      <c r="O50" s="76">
        <v>0.3</v>
      </c>
      <c r="P50" s="74">
        <v>-2.42</v>
      </c>
      <c r="Q50" s="74">
        <v>-4.63</v>
      </c>
      <c r="R50" s="89"/>
    </row>
    <row r="51" spans="2:18">
      <c r="B51" s="88">
        <v>45121.4375</v>
      </c>
      <c r="C51" s="18">
        <v>7</v>
      </c>
      <c r="D51" s="19">
        <v>-1.6</v>
      </c>
      <c r="E51" s="19">
        <v>-2.6</v>
      </c>
      <c r="F51" s="18">
        <f t="shared" si="1"/>
        <v>10.200000000000001</v>
      </c>
      <c r="G51" s="20">
        <v>27</v>
      </c>
      <c r="H51" s="20">
        <f>0.0283168466*'Hailey''s Data'!I49</f>
        <v>0.14498225459200001</v>
      </c>
      <c r="I51" s="18" t="s">
        <v>8</v>
      </c>
      <c r="J51" s="18">
        <v>5</v>
      </c>
      <c r="K51" s="18">
        <v>0</v>
      </c>
      <c r="L51" s="18">
        <v>6.4184522164468518</v>
      </c>
      <c r="M51" s="18">
        <v>1.1124E-2</v>
      </c>
      <c r="N51" s="76">
        <v>-1.7</v>
      </c>
      <c r="O51" s="76">
        <v>0.8</v>
      </c>
      <c r="P51" s="74">
        <v>-2.42</v>
      </c>
      <c r="Q51" s="74">
        <v>-4.63</v>
      </c>
      <c r="R51" s="89"/>
    </row>
    <row r="52" spans="2:18">
      <c r="B52" s="88">
        <v>45121.458333333336</v>
      </c>
      <c r="C52" s="18">
        <v>7</v>
      </c>
      <c r="D52" s="19">
        <v>-2.2999999999999998</v>
      </c>
      <c r="E52" s="19">
        <v>-4.5999999999999996</v>
      </c>
      <c r="F52" s="18">
        <f t="shared" si="1"/>
        <v>13.799999999999999</v>
      </c>
      <c r="G52" s="20">
        <v>26</v>
      </c>
      <c r="H52" s="20">
        <f>0.0283168466*'Hailey''s Data'!I50</f>
        <v>0.26957637963199998</v>
      </c>
      <c r="I52" s="18" t="s">
        <v>8</v>
      </c>
      <c r="J52" s="18">
        <v>5</v>
      </c>
      <c r="K52" s="18">
        <v>0</v>
      </c>
      <c r="L52" s="18">
        <v>6.7636091996111665</v>
      </c>
      <c r="M52" s="18">
        <v>2.2708599999999999E-2</v>
      </c>
      <c r="N52" s="76">
        <v>-1.7</v>
      </c>
      <c r="O52" s="76">
        <v>0.8</v>
      </c>
      <c r="P52" s="74">
        <v>-2.42</v>
      </c>
      <c r="Q52" s="74">
        <v>-4.63</v>
      </c>
      <c r="R52" s="89"/>
    </row>
    <row r="53" spans="2:18">
      <c r="B53" s="88">
        <v>45121.479166666664</v>
      </c>
      <c r="C53" s="18">
        <v>6</v>
      </c>
      <c r="D53" s="19">
        <v>-2.2999999999999998</v>
      </c>
      <c r="E53" s="19">
        <v>-4.7</v>
      </c>
      <c r="F53" s="18">
        <f t="shared" si="1"/>
        <v>13.7</v>
      </c>
      <c r="G53" s="20">
        <v>23.7</v>
      </c>
      <c r="H53" s="20">
        <f>0.0283168466*'Hailey''s Data'!I51</f>
        <v>0.28600015066000001</v>
      </c>
      <c r="I53" s="18" t="s">
        <v>8</v>
      </c>
      <c r="J53" s="18">
        <v>80</v>
      </c>
      <c r="K53" s="18">
        <v>0</v>
      </c>
      <c r="L53" s="18">
        <v>5.3150548461513338</v>
      </c>
      <c r="M53" s="18">
        <v>2.4175100000000001E-2</v>
      </c>
      <c r="N53" s="76">
        <v>-1.7</v>
      </c>
      <c r="O53" s="76">
        <v>0.8</v>
      </c>
      <c r="P53" s="74">
        <v>-2.42</v>
      </c>
      <c r="Q53" s="74">
        <v>-4.63</v>
      </c>
      <c r="R53" s="89"/>
    </row>
    <row r="54" spans="2:18">
      <c r="B54" s="88">
        <v>45124.368055555555</v>
      </c>
      <c r="C54" s="18">
        <v>3</v>
      </c>
      <c r="D54" s="19">
        <v>-2.6</v>
      </c>
      <c r="E54" s="19">
        <v>-5.3</v>
      </c>
      <c r="F54" s="18">
        <f t="shared" si="1"/>
        <v>15.5</v>
      </c>
      <c r="G54" s="20">
        <v>22</v>
      </c>
      <c r="H54" s="20">
        <f>0.0283168466*'Hailey''s Data'!I52</f>
        <v>0.24692290235200001</v>
      </c>
      <c r="I54" s="18" t="s">
        <v>8</v>
      </c>
      <c r="J54" s="18">
        <v>230</v>
      </c>
      <c r="K54" s="18">
        <v>0</v>
      </c>
      <c r="L54" s="18">
        <v>4.7960094026073739</v>
      </c>
      <c r="M54" s="18">
        <v>7.0259600000000005E-2</v>
      </c>
      <c r="N54" s="76">
        <v>-1.7</v>
      </c>
      <c r="O54" s="76">
        <v>0.8</v>
      </c>
      <c r="P54" s="74">
        <v>-2.42</v>
      </c>
      <c r="Q54" s="74">
        <v>-4.63</v>
      </c>
      <c r="R54" s="89"/>
    </row>
    <row r="55" spans="2:18">
      <c r="B55" s="88">
        <v>45124.375</v>
      </c>
      <c r="C55" s="18">
        <v>4</v>
      </c>
      <c r="D55" s="19">
        <v>-2.4</v>
      </c>
      <c r="E55" s="19">
        <v>-4.5999999999999996</v>
      </c>
      <c r="F55" s="18">
        <f t="shared" si="1"/>
        <v>14.6</v>
      </c>
      <c r="G55" s="20">
        <v>22.7</v>
      </c>
      <c r="H55" s="20">
        <f>0.0283168466*'Hailey''s Data'!I53</f>
        <v>0.23956052223600002</v>
      </c>
      <c r="I55" s="18" t="s">
        <v>8</v>
      </c>
      <c r="J55" s="18">
        <v>80</v>
      </c>
      <c r="K55" s="18">
        <v>0</v>
      </c>
      <c r="L55" s="18">
        <v>0.88211785080356842</v>
      </c>
      <c r="M55" s="18">
        <v>0.241475</v>
      </c>
      <c r="N55" s="76">
        <v>-1.7</v>
      </c>
      <c r="O55" s="76">
        <v>0.8</v>
      </c>
      <c r="P55" s="74">
        <v>-2.42</v>
      </c>
      <c r="Q55" s="74">
        <v>-4.63</v>
      </c>
      <c r="R55" s="89"/>
    </row>
    <row r="56" spans="2:18">
      <c r="B56" s="88">
        <v>45124.386805555558</v>
      </c>
      <c r="C56" s="18">
        <v>5</v>
      </c>
      <c r="D56" s="19">
        <v>-2.4</v>
      </c>
      <c r="E56" s="19">
        <v>-4.5999999999999996</v>
      </c>
      <c r="F56" s="18">
        <f t="shared" si="1"/>
        <v>14.6</v>
      </c>
      <c r="G56" s="20">
        <v>23.1</v>
      </c>
      <c r="H56" s="20">
        <f>0.0283168466*'Hailey''s Data'!I54</f>
        <v>8.9481235256000005E-2</v>
      </c>
      <c r="I56" s="18" t="s">
        <v>8</v>
      </c>
      <c r="J56" s="18">
        <v>80</v>
      </c>
      <c r="K56" s="18">
        <v>0</v>
      </c>
      <c r="L56" s="18">
        <v>3.7522267851340407</v>
      </c>
      <c r="M56" s="18">
        <v>7.2402599999999998E-2</v>
      </c>
      <c r="N56" s="76">
        <v>-1.7</v>
      </c>
      <c r="O56" s="76">
        <v>0.8</v>
      </c>
      <c r="P56" s="74">
        <v>-2.42</v>
      </c>
      <c r="Q56" s="74">
        <v>-4.63</v>
      </c>
      <c r="R56" s="89"/>
    </row>
    <row r="57" spans="2:18">
      <c r="B57" s="88">
        <v>45124.40625</v>
      </c>
      <c r="C57" s="18">
        <v>6</v>
      </c>
      <c r="D57" s="19">
        <v>-2.2999999999999998</v>
      </c>
      <c r="E57" s="19">
        <v>-4.4000000000000004</v>
      </c>
      <c r="F57" s="18">
        <f t="shared" si="1"/>
        <v>13.999999999999998</v>
      </c>
      <c r="G57" s="20">
        <v>23.1</v>
      </c>
      <c r="H57" s="20">
        <f>0.0283168466*'Hailey''s Data'!I55</f>
        <v>8.9481235256000005E-2</v>
      </c>
      <c r="I57" s="18" t="s">
        <v>8</v>
      </c>
      <c r="J57" s="18">
        <v>80</v>
      </c>
      <c r="K57" s="18">
        <v>0</v>
      </c>
      <c r="L57" s="18">
        <v>6.8808822633744215</v>
      </c>
      <c r="M57" s="18">
        <v>2.4175100000000001E-2</v>
      </c>
      <c r="N57" s="76">
        <v>-1.7</v>
      </c>
      <c r="O57" s="76">
        <v>0.8</v>
      </c>
      <c r="P57" s="74">
        <v>-2.42</v>
      </c>
      <c r="Q57" s="74">
        <v>-4.63</v>
      </c>
      <c r="R57" s="89"/>
    </row>
    <row r="58" spans="2:18">
      <c r="B58" s="88">
        <v>45125.416666666664</v>
      </c>
      <c r="C58" s="18">
        <v>1</v>
      </c>
      <c r="D58" s="19">
        <v>-2.5</v>
      </c>
      <c r="E58" s="19">
        <v>-4.8</v>
      </c>
      <c r="F58" s="18">
        <f t="shared" si="1"/>
        <v>15.2</v>
      </c>
      <c r="G58" s="20">
        <v>21.7</v>
      </c>
      <c r="H58" s="20">
        <f>0.0283168466*'Hailey''s Data'!I56</f>
        <v>8.9481235256000005E-2</v>
      </c>
      <c r="I58" s="18" t="s">
        <v>8</v>
      </c>
      <c r="J58" s="18">
        <v>460</v>
      </c>
      <c r="K58" s="18">
        <v>10.4</v>
      </c>
      <c r="L58" s="18">
        <v>5.9242129107770003</v>
      </c>
      <c r="M58" s="18">
        <v>0.38312099999999999</v>
      </c>
      <c r="N58" s="76">
        <v>-1.3</v>
      </c>
      <c r="O58" s="76">
        <v>-1.1000000000000001</v>
      </c>
      <c r="P58" s="74">
        <v>-2.42</v>
      </c>
      <c r="Q58" s="74">
        <v>-4.63</v>
      </c>
      <c r="R58" s="89"/>
    </row>
    <row r="59" spans="2:18">
      <c r="B59" s="88">
        <v>45125.447916666664</v>
      </c>
      <c r="C59" s="18">
        <v>2</v>
      </c>
      <c r="D59" s="19">
        <v>-2.2999999999999998</v>
      </c>
      <c r="E59" s="19">
        <v>-4.0999999999999996</v>
      </c>
      <c r="F59" s="18">
        <f t="shared" si="1"/>
        <v>14.299999999999999</v>
      </c>
      <c r="G59" s="20">
        <v>22.3</v>
      </c>
      <c r="H59" s="20">
        <f>0.0283168466*'Hailey''s Data'!I57</f>
        <v>8.9481235256000005E-2</v>
      </c>
      <c r="I59" s="18" t="s">
        <v>8</v>
      </c>
      <c r="J59" s="18">
        <v>270</v>
      </c>
      <c r="K59" s="18">
        <v>10.4</v>
      </c>
      <c r="L59" s="18">
        <v>3.8550421267118642</v>
      </c>
      <c r="M59" s="18">
        <v>0.18023800000000001</v>
      </c>
      <c r="N59" s="76">
        <v>-1.3</v>
      </c>
      <c r="O59" s="76">
        <v>-1.1000000000000001</v>
      </c>
      <c r="P59" s="74">
        <v>-2.42</v>
      </c>
      <c r="Q59" s="74">
        <v>-4.63</v>
      </c>
      <c r="R59" s="89"/>
    </row>
    <row r="60" spans="2:18">
      <c r="B60" s="88">
        <v>45152.606249999997</v>
      </c>
      <c r="C60" s="18">
        <v>7</v>
      </c>
      <c r="D60" s="19">
        <v>-1.2</v>
      </c>
      <c r="E60" s="19">
        <v>-2.1</v>
      </c>
      <c r="F60" s="18">
        <f t="shared" si="1"/>
        <v>7.5</v>
      </c>
      <c r="G60" s="20">
        <v>30.2</v>
      </c>
      <c r="H60" s="20">
        <f>0.0283168466*'Hailey''s Data'!I58</f>
        <v>8.4384202867999997E-2</v>
      </c>
      <c r="I60" s="18" t="s">
        <v>8</v>
      </c>
      <c r="J60" s="18">
        <v>5</v>
      </c>
      <c r="K60" s="18">
        <v>5.0999999999999996</v>
      </c>
      <c r="L60" s="18">
        <v>1.0520893172489789</v>
      </c>
      <c r="M60" s="18">
        <v>2.5429199999999999E-2</v>
      </c>
      <c r="N60" s="76">
        <v>-1.4</v>
      </c>
      <c r="O60" s="76">
        <v>-1.3</v>
      </c>
      <c r="P60" s="74">
        <v>-2.42</v>
      </c>
      <c r="Q60" s="74">
        <v>-4.63</v>
      </c>
      <c r="R60" s="89"/>
    </row>
    <row r="61" spans="2:18">
      <c r="B61" s="88">
        <v>45152.62222222222</v>
      </c>
      <c r="C61" s="18">
        <v>7</v>
      </c>
      <c r="D61" s="19">
        <v>-2.2999999999999998</v>
      </c>
      <c r="E61" s="19">
        <v>-5.3</v>
      </c>
      <c r="F61" s="18">
        <f t="shared" si="1"/>
        <v>13.099999999999998</v>
      </c>
      <c r="G61" s="20">
        <v>28.1</v>
      </c>
      <c r="H61" s="20">
        <f>0.0283168466*'Hailey''s Data'!I59</f>
        <v>8.4384202867999997E-2</v>
      </c>
      <c r="I61" s="18" t="s">
        <v>8</v>
      </c>
      <c r="J61" s="18">
        <v>5</v>
      </c>
      <c r="K61" s="18">
        <v>5.0999999999999996</v>
      </c>
      <c r="L61" s="18">
        <v>0.52197824089767242</v>
      </c>
      <c r="M61" s="18">
        <v>2.5429199999999999E-2</v>
      </c>
      <c r="N61" s="76">
        <v>-1.4</v>
      </c>
      <c r="O61" s="76">
        <v>-1.3</v>
      </c>
      <c r="P61" s="74">
        <v>-2.42</v>
      </c>
      <c r="Q61" s="74">
        <v>-4.63</v>
      </c>
      <c r="R61" s="89"/>
    </row>
    <row r="62" spans="2:18">
      <c r="B62" s="88">
        <v>45152.642361111109</v>
      </c>
      <c r="C62" s="18">
        <v>6</v>
      </c>
      <c r="D62" s="19">
        <v>-2.5</v>
      </c>
      <c r="E62" s="19">
        <v>-6</v>
      </c>
      <c r="F62" s="18">
        <f t="shared" si="1"/>
        <v>14</v>
      </c>
      <c r="G62" s="20">
        <v>24.7</v>
      </c>
      <c r="H62" s="20">
        <f>0.0283168466*'Hailey''s Data'!I60</f>
        <v>8.4384202867999997E-2</v>
      </c>
      <c r="I62" s="18" t="s">
        <v>8</v>
      </c>
      <c r="J62" s="18">
        <v>80</v>
      </c>
      <c r="K62" s="18">
        <v>5.0999999999999996</v>
      </c>
      <c r="L62" s="18">
        <v>0.34593405775533725</v>
      </c>
      <c r="M62" s="18">
        <v>2.5932400000000001E-2</v>
      </c>
      <c r="N62" s="76">
        <v>-1.4</v>
      </c>
      <c r="O62" s="76">
        <v>-1.3</v>
      </c>
      <c r="P62" s="74">
        <v>-2.42</v>
      </c>
      <c r="Q62" s="74">
        <v>-4.63</v>
      </c>
      <c r="R62" s="89"/>
    </row>
    <row r="63" spans="2:18">
      <c r="B63" s="88">
        <v>45153.461805555555</v>
      </c>
      <c r="C63" s="18">
        <v>3</v>
      </c>
      <c r="D63" s="19">
        <v>-2.8</v>
      </c>
      <c r="E63" s="19">
        <v>-7.5</v>
      </c>
      <c r="F63" s="18">
        <f t="shared" si="1"/>
        <v>14.899999999999999</v>
      </c>
      <c r="G63" s="20">
        <v>23.1</v>
      </c>
      <c r="H63" s="20">
        <f>0.0283168466*'Hailey''s Data'!I61</f>
        <v>8.4384202867999997E-2</v>
      </c>
      <c r="I63" s="18" t="s">
        <v>8</v>
      </c>
      <c r="J63" s="18">
        <v>230</v>
      </c>
      <c r="K63" s="18">
        <v>12.7</v>
      </c>
      <c r="L63" s="18">
        <v>0.43006290878514752</v>
      </c>
      <c r="M63" s="18">
        <v>7.2691500000000006E-2</v>
      </c>
      <c r="N63" s="76">
        <v>-1.4</v>
      </c>
      <c r="O63" s="76">
        <v>-1.3</v>
      </c>
      <c r="P63" s="74">
        <v>-2.42</v>
      </c>
      <c r="Q63" s="74">
        <v>-4.63</v>
      </c>
      <c r="R63" s="89"/>
    </row>
    <row r="64" spans="2:18">
      <c r="B64" s="88">
        <v>45153.475694444445</v>
      </c>
      <c r="C64" s="18">
        <v>4</v>
      </c>
      <c r="D64" s="19">
        <v>-2.4</v>
      </c>
      <c r="E64" s="19">
        <v>-5.0999999999999996</v>
      </c>
      <c r="F64" s="18">
        <f t="shared" si="1"/>
        <v>14.1</v>
      </c>
      <c r="G64" s="20">
        <v>24.2</v>
      </c>
      <c r="H64" s="20">
        <f>0.0283168466*'Hailey''s Data'!I62</f>
        <v>0.10505550088600001</v>
      </c>
      <c r="I64" s="18" t="s">
        <v>8</v>
      </c>
      <c r="J64" s="18">
        <v>80</v>
      </c>
      <c r="K64" s="18">
        <v>12.7</v>
      </c>
      <c r="L64" s="18">
        <v>0.16116359157481913</v>
      </c>
      <c r="M64" s="18">
        <v>0.24707599999999999</v>
      </c>
      <c r="N64" s="76">
        <v>-1.4</v>
      </c>
      <c r="O64" s="76">
        <v>-1.3</v>
      </c>
      <c r="P64" s="74">
        <v>-2.42</v>
      </c>
      <c r="Q64" s="74">
        <v>-4.63</v>
      </c>
      <c r="R64" s="89"/>
    </row>
    <row r="65" spans="2:18">
      <c r="B65" s="88">
        <v>45153.489583333336</v>
      </c>
      <c r="C65" s="18">
        <v>5</v>
      </c>
      <c r="D65" s="19">
        <v>-2.4</v>
      </c>
      <c r="E65" s="19">
        <v>-5.3</v>
      </c>
      <c r="F65" s="18">
        <f t="shared" si="1"/>
        <v>13.899999999999999</v>
      </c>
      <c r="G65" s="20">
        <v>26.6</v>
      </c>
      <c r="H65" s="20">
        <f>0.0283168466*'Hailey''s Data'!I63</f>
        <v>9.9675300032000008E-2</v>
      </c>
      <c r="I65" s="18" t="s">
        <v>8</v>
      </c>
      <c r="J65" s="18">
        <v>80</v>
      </c>
      <c r="K65" s="18">
        <v>12.7</v>
      </c>
      <c r="L65" s="18">
        <v>0.39860223860289062</v>
      </c>
      <c r="M65" s="18">
        <v>7.4904600000000002E-2</v>
      </c>
      <c r="N65" s="76">
        <v>-1.4</v>
      </c>
      <c r="O65" s="76">
        <v>-1.3</v>
      </c>
      <c r="P65" s="74">
        <v>-2.42</v>
      </c>
      <c r="Q65" s="74">
        <v>-4.63</v>
      </c>
      <c r="R65" s="89"/>
    </row>
    <row r="66" spans="2:18">
      <c r="B66" s="88">
        <v>45153.504166666666</v>
      </c>
      <c r="C66" s="18">
        <v>6</v>
      </c>
      <c r="D66" s="19">
        <v>-2.4</v>
      </c>
      <c r="E66" s="19">
        <v>-5.2</v>
      </c>
      <c r="F66" s="18">
        <f t="shared" si="1"/>
        <v>14</v>
      </c>
      <c r="G66" s="20">
        <v>24.3</v>
      </c>
      <c r="H66" s="20">
        <f>0.0283168466*'Hailey''s Data'!I64</f>
        <v>0.110152533274</v>
      </c>
      <c r="I66" s="18" t="s">
        <v>8</v>
      </c>
      <c r="J66" s="18">
        <v>80</v>
      </c>
      <c r="K66" s="18">
        <v>12.7</v>
      </c>
      <c r="L66" s="18">
        <v>1.5411234477471647</v>
      </c>
      <c r="M66" s="18">
        <v>2.6713500000000001E-2</v>
      </c>
      <c r="N66" s="76">
        <v>-1.4</v>
      </c>
      <c r="O66" s="76">
        <v>-1.3</v>
      </c>
      <c r="P66" s="74">
        <v>-2.42</v>
      </c>
      <c r="Q66" s="74">
        <v>-4.63</v>
      </c>
      <c r="R66" s="89"/>
    </row>
    <row r="67" spans="2:18">
      <c r="B67" s="88">
        <v>45154.555555555555</v>
      </c>
      <c r="C67" s="18">
        <v>1</v>
      </c>
      <c r="D67" s="19">
        <v>-2.7</v>
      </c>
      <c r="E67" s="19">
        <v>-6.6</v>
      </c>
      <c r="F67" s="18">
        <f t="shared" ref="F67:F98" si="2">E67 - (8*D67)</f>
        <v>15.000000000000002</v>
      </c>
      <c r="G67" s="20">
        <v>22.6</v>
      </c>
      <c r="H67" s="20">
        <f>0.0283168466*'Hailey''s Data'!I65</f>
        <v>0.18547534523</v>
      </c>
      <c r="I67" s="18" t="s">
        <v>8</v>
      </c>
      <c r="J67" s="18">
        <v>460</v>
      </c>
      <c r="K67" s="18">
        <v>17.3</v>
      </c>
      <c r="L67" s="18">
        <v>0.16104068612068734</v>
      </c>
      <c r="M67" s="18">
        <v>0.48380299999999998</v>
      </c>
      <c r="N67" s="76">
        <v>-1.4</v>
      </c>
      <c r="O67" s="76">
        <v>-1.3</v>
      </c>
      <c r="P67" s="74">
        <v>-2.42</v>
      </c>
      <c r="Q67" s="74">
        <v>-4.63</v>
      </c>
      <c r="R67" s="89"/>
    </row>
    <row r="68" spans="2:18">
      <c r="B68" s="88">
        <v>45154.579861111109</v>
      </c>
      <c r="C68" s="18">
        <v>2</v>
      </c>
      <c r="D68" s="19">
        <v>-2.4</v>
      </c>
      <c r="E68" s="19">
        <v>-5.2</v>
      </c>
      <c r="F68" s="18">
        <f t="shared" si="2"/>
        <v>14</v>
      </c>
      <c r="G68" s="20">
        <v>23.3</v>
      </c>
      <c r="H68" s="20">
        <f>0.0283168466*'Hailey''s Data'!I66</f>
        <v>0.18547534523</v>
      </c>
      <c r="I68" s="18" t="s">
        <v>8</v>
      </c>
      <c r="J68" s="18">
        <v>270</v>
      </c>
      <c r="K68" s="18">
        <v>17.3</v>
      </c>
      <c r="L68" s="18">
        <v>1.352196601232214</v>
      </c>
      <c r="M68" s="18">
        <v>0.21172099999999999</v>
      </c>
      <c r="N68" s="76">
        <v>-1.4</v>
      </c>
      <c r="O68" s="76">
        <v>-1.3</v>
      </c>
      <c r="P68" s="74">
        <v>-2.42</v>
      </c>
      <c r="Q68" s="74">
        <v>-4.63</v>
      </c>
      <c r="R68" s="89"/>
    </row>
    <row r="69" spans="2:18">
      <c r="B69" s="88">
        <v>45175.631944444445</v>
      </c>
      <c r="C69" s="18">
        <v>7</v>
      </c>
      <c r="D69" s="19">
        <v>-0.9</v>
      </c>
      <c r="E69" s="19">
        <v>-1.2</v>
      </c>
      <c r="F69" s="18">
        <f t="shared" si="2"/>
        <v>6</v>
      </c>
      <c r="G69" s="20">
        <v>32.4</v>
      </c>
      <c r="H69" s="20">
        <f>0.0283168466*'Hailey''s Data'!I67</f>
        <v>0.14300007533</v>
      </c>
      <c r="I69" s="18" t="s">
        <v>8</v>
      </c>
      <c r="J69" s="18">
        <v>5</v>
      </c>
      <c r="K69" s="18">
        <v>0</v>
      </c>
      <c r="L69" s="18">
        <v>0.59561087153206238</v>
      </c>
      <c r="M69" s="18">
        <v>2.4729299999999999E-2</v>
      </c>
      <c r="N69" s="76">
        <v>-1.7</v>
      </c>
      <c r="O69" s="76">
        <v>1.2</v>
      </c>
      <c r="P69" s="74">
        <v>-2.42</v>
      </c>
      <c r="Q69" s="74">
        <v>-4.63</v>
      </c>
      <c r="R69" s="89"/>
    </row>
    <row r="70" spans="2:18">
      <c r="B70" s="88">
        <v>45176.5625</v>
      </c>
      <c r="C70" s="18">
        <v>7</v>
      </c>
      <c r="D70" s="19">
        <v>-2.4</v>
      </c>
      <c r="E70" s="19">
        <v>-5.5</v>
      </c>
      <c r="F70" s="18">
        <f t="shared" si="2"/>
        <v>13.7</v>
      </c>
      <c r="G70" s="20">
        <v>28.3</v>
      </c>
      <c r="H70" s="20">
        <f>0.0283168466*'Hailey''s Data'!I68</f>
        <v>8.5233708265999991E-2</v>
      </c>
      <c r="I70" s="18" t="s">
        <v>8</v>
      </c>
      <c r="J70" s="18">
        <v>5</v>
      </c>
      <c r="K70" s="18">
        <v>0</v>
      </c>
      <c r="L70" s="18">
        <v>1.8870522168043993</v>
      </c>
      <c r="M70" s="18">
        <v>2.6636799999999999E-2</v>
      </c>
      <c r="N70" s="76">
        <v>-1.7</v>
      </c>
      <c r="O70" s="76">
        <v>1.2</v>
      </c>
      <c r="P70" s="74">
        <v>-2.42</v>
      </c>
      <c r="Q70" s="74">
        <v>-4.63</v>
      </c>
      <c r="R70" s="89"/>
    </row>
    <row r="71" spans="2:18">
      <c r="B71" s="88">
        <v>45176.584722222222</v>
      </c>
      <c r="C71" s="18">
        <v>6</v>
      </c>
      <c r="D71" s="19">
        <v>-2.4</v>
      </c>
      <c r="E71" s="19">
        <v>-6.2</v>
      </c>
      <c r="F71" s="18">
        <f t="shared" si="2"/>
        <v>13</v>
      </c>
      <c r="G71" s="20">
        <v>25.8</v>
      </c>
      <c r="H71" s="20">
        <f>0.0283168466*'Hailey''s Data'!I69</f>
        <v>9.4861436110000003E-2</v>
      </c>
      <c r="I71" s="18" t="s">
        <v>8</v>
      </c>
      <c r="J71" s="18">
        <v>80</v>
      </c>
      <c r="K71" s="18">
        <v>0</v>
      </c>
      <c r="L71" s="18">
        <v>0.69517625456318322</v>
      </c>
      <c r="M71" s="18">
        <v>2.8300100000000002E-2</v>
      </c>
      <c r="N71" s="76">
        <v>-1.7</v>
      </c>
      <c r="O71" s="76">
        <v>1.2</v>
      </c>
      <c r="P71" s="74">
        <v>-2.42</v>
      </c>
      <c r="Q71" s="74">
        <v>-4.63</v>
      </c>
      <c r="R71" s="89"/>
    </row>
    <row r="72" spans="2:18">
      <c r="B72" s="88">
        <v>45177.453472222223</v>
      </c>
      <c r="C72" s="18">
        <v>6</v>
      </c>
      <c r="D72" s="19">
        <v>-2.4</v>
      </c>
      <c r="E72" s="19">
        <v>-5.2</v>
      </c>
      <c r="F72" s="18">
        <f t="shared" si="2"/>
        <v>14</v>
      </c>
      <c r="G72" s="20">
        <v>24</v>
      </c>
      <c r="H72" s="20">
        <f>0.0283168466*'Hailey''s Data'!I70</f>
        <v>9.4861436110000003E-2</v>
      </c>
      <c r="I72" s="18" t="s">
        <v>8</v>
      </c>
      <c r="J72" s="18">
        <v>80</v>
      </c>
      <c r="K72" s="18">
        <v>1.3</v>
      </c>
      <c r="L72" s="18">
        <v>0.89556537544470061</v>
      </c>
      <c r="M72" s="18">
        <v>2.35642E-2</v>
      </c>
      <c r="N72" s="76">
        <v>-1.7</v>
      </c>
      <c r="O72" s="76">
        <v>1.2</v>
      </c>
      <c r="P72" s="74">
        <v>-2.42</v>
      </c>
      <c r="Q72" s="74">
        <v>-4.63</v>
      </c>
      <c r="R72" s="89"/>
    </row>
    <row r="73" spans="2:18">
      <c r="B73" s="88">
        <v>45183.577777777777</v>
      </c>
      <c r="C73" s="18">
        <v>4</v>
      </c>
      <c r="D73" s="19">
        <v>-2.2000000000000002</v>
      </c>
      <c r="E73" s="19">
        <v>-5.5</v>
      </c>
      <c r="F73" s="18">
        <f t="shared" si="2"/>
        <v>12.100000000000001</v>
      </c>
      <c r="G73" s="20">
        <v>25.7</v>
      </c>
      <c r="H73" s="20">
        <f>0.0283168466*'Hailey''s Data'!I71</f>
        <v>9.4861436110000003E-2</v>
      </c>
      <c r="I73" s="18" t="s">
        <v>8</v>
      </c>
      <c r="J73" s="18">
        <v>80</v>
      </c>
      <c r="K73" s="18">
        <v>0</v>
      </c>
      <c r="L73" s="18">
        <v>0.98421599954724837</v>
      </c>
      <c r="M73" s="18">
        <v>0.30014400000000002</v>
      </c>
      <c r="N73" s="76">
        <v>-2.1</v>
      </c>
      <c r="O73" s="76">
        <v>-6.9</v>
      </c>
      <c r="P73" s="74">
        <v>-2.42</v>
      </c>
      <c r="Q73" s="74">
        <v>-4.63</v>
      </c>
      <c r="R73" s="89"/>
    </row>
    <row r="74" spans="2:18">
      <c r="B74" s="88">
        <v>45183.59375</v>
      </c>
      <c r="C74" s="18">
        <v>3</v>
      </c>
      <c r="D74" s="19">
        <v>-2.5</v>
      </c>
      <c r="E74" s="19">
        <v>-5.6</v>
      </c>
      <c r="F74" s="18">
        <f t="shared" si="2"/>
        <v>14.4</v>
      </c>
      <c r="G74" s="20">
        <v>24.2</v>
      </c>
      <c r="H74" s="20">
        <f>0.0283168466*'Hailey''s Data'!I72</f>
        <v>0.18547534523</v>
      </c>
      <c r="I74" s="18" t="s">
        <v>8</v>
      </c>
      <c r="J74" s="18">
        <v>230</v>
      </c>
      <c r="K74" s="18">
        <v>0</v>
      </c>
      <c r="L74" s="18">
        <v>0.86307358489149977</v>
      </c>
      <c r="M74" s="18">
        <v>7.8997700000000004E-2</v>
      </c>
      <c r="N74" s="76">
        <v>-2.1</v>
      </c>
      <c r="O74" s="76">
        <v>-6.9</v>
      </c>
      <c r="P74" s="74">
        <v>-2.42</v>
      </c>
      <c r="Q74" s="74">
        <v>-4.63</v>
      </c>
      <c r="R74" s="89"/>
    </row>
    <row r="75" spans="2:18">
      <c r="B75" s="88">
        <v>45187.458333333336</v>
      </c>
      <c r="C75" s="18">
        <v>2</v>
      </c>
      <c r="D75" s="19">
        <v>-1.8</v>
      </c>
      <c r="E75" s="19">
        <v>-2.8</v>
      </c>
      <c r="F75" s="18">
        <f t="shared" si="2"/>
        <v>11.600000000000001</v>
      </c>
      <c r="G75" s="20">
        <v>24.3</v>
      </c>
      <c r="H75" s="20">
        <f>0.0283168466*'Hailey''s Data'!I73</f>
        <v>0.179245638978</v>
      </c>
      <c r="I75" s="18" t="s">
        <v>8</v>
      </c>
      <c r="J75" s="18">
        <v>270</v>
      </c>
      <c r="K75" s="18">
        <v>17</v>
      </c>
      <c r="L75" s="18">
        <v>1.5502707150342852</v>
      </c>
      <c r="M75" s="18">
        <v>0.20494799999999999</v>
      </c>
      <c r="N75" s="76">
        <v>-2.1</v>
      </c>
      <c r="O75" s="76">
        <v>-6.9</v>
      </c>
      <c r="P75" s="74">
        <v>-2.42</v>
      </c>
      <c r="Q75" s="74">
        <v>-4.63</v>
      </c>
      <c r="R75" s="89"/>
    </row>
    <row r="76" spans="2:18">
      <c r="B76" s="88">
        <v>45187.474999999999</v>
      </c>
      <c r="C76" s="18">
        <v>5</v>
      </c>
      <c r="D76" s="19">
        <v>-2.4</v>
      </c>
      <c r="E76" s="19">
        <v>-6</v>
      </c>
      <c r="F76" s="18">
        <f t="shared" si="2"/>
        <v>13.2</v>
      </c>
      <c r="G76" s="20">
        <v>25.9</v>
      </c>
      <c r="H76" s="20">
        <f>0.0283168466*'Hailey''s Data'!I74</f>
        <v>0.12600996737</v>
      </c>
      <c r="I76" s="18" t="s">
        <v>8</v>
      </c>
      <c r="J76" s="18">
        <v>80</v>
      </c>
      <c r="K76" s="18">
        <v>17</v>
      </c>
      <c r="L76" s="18">
        <v>0.96937314456027779</v>
      </c>
      <c r="M76" s="18">
        <v>8.1607600000000002E-2</v>
      </c>
      <c r="N76" s="76">
        <v>-2.1</v>
      </c>
      <c r="O76" s="76">
        <v>-6.9</v>
      </c>
      <c r="P76" s="74">
        <v>-2.42</v>
      </c>
      <c r="Q76" s="74">
        <v>-4.63</v>
      </c>
      <c r="R76" s="89"/>
    </row>
    <row r="77" spans="2:18">
      <c r="B77" s="88">
        <v>45187.486805555556</v>
      </c>
      <c r="C77" s="18">
        <v>1</v>
      </c>
      <c r="D77" s="19">
        <v>-2.6</v>
      </c>
      <c r="E77" s="19">
        <v>-6.1</v>
      </c>
      <c r="F77" s="18">
        <f t="shared" si="2"/>
        <v>14.700000000000001</v>
      </c>
      <c r="G77" s="20">
        <v>22.3</v>
      </c>
      <c r="H77" s="20">
        <f>0.0283168466*'Hailey''s Data'!I75</f>
        <v>0.12600996737</v>
      </c>
      <c r="I77" s="18" t="s">
        <v>8</v>
      </c>
      <c r="J77" s="18">
        <v>460</v>
      </c>
      <c r="K77" s="18">
        <v>17</v>
      </c>
      <c r="L77" s="18">
        <v>0.78381921491492323</v>
      </c>
      <c r="M77" s="18">
        <v>0.43432599999999999</v>
      </c>
      <c r="N77" s="76">
        <v>-2.1</v>
      </c>
      <c r="O77" s="76">
        <v>-6.9</v>
      </c>
      <c r="P77" s="74">
        <v>-2.42</v>
      </c>
      <c r="Q77" s="74">
        <v>-4.63</v>
      </c>
      <c r="R77" s="89"/>
    </row>
    <row r="78" spans="2:18">
      <c r="B78" s="88">
        <v>45238.506944444445</v>
      </c>
      <c r="C78" s="18">
        <v>7</v>
      </c>
      <c r="D78" s="19">
        <v>-0.9</v>
      </c>
      <c r="E78" s="19">
        <v>-0.7</v>
      </c>
      <c r="F78" s="18">
        <f t="shared" si="2"/>
        <v>6.5</v>
      </c>
      <c r="G78" s="20">
        <v>27.6</v>
      </c>
      <c r="H78" s="20">
        <f>0.0283168466*'Hailey''s Data'!I76</f>
        <v>0.13167333669</v>
      </c>
      <c r="I78" s="18" t="s">
        <v>8</v>
      </c>
      <c r="J78" s="18">
        <v>5</v>
      </c>
      <c r="K78" s="18">
        <v>0</v>
      </c>
      <c r="L78" s="18">
        <v>0.40152966108814087</v>
      </c>
      <c r="M78" s="18">
        <v>2.214E-2</v>
      </c>
      <c r="N78" s="76">
        <v>-1.5</v>
      </c>
      <c r="O78" s="76">
        <v>1.9</v>
      </c>
      <c r="P78" s="74">
        <v>-2.42</v>
      </c>
      <c r="Q78" s="74">
        <v>-4.63</v>
      </c>
      <c r="R78" s="89"/>
    </row>
    <row r="79" spans="2:18">
      <c r="B79" s="88">
        <v>45238.524305555555</v>
      </c>
      <c r="C79" s="18">
        <v>7</v>
      </c>
      <c r="D79" s="19">
        <v>-2.2999999999999998</v>
      </c>
      <c r="E79" s="19">
        <v>-4.2</v>
      </c>
      <c r="F79" s="18">
        <f t="shared" si="2"/>
        <v>14.2</v>
      </c>
      <c r="G79" s="20">
        <v>26.4</v>
      </c>
      <c r="H79" s="20">
        <f>0.0283168466*'Hailey''s Data'!I77</f>
        <v>0.12600996737</v>
      </c>
      <c r="I79" s="18" t="s">
        <v>8</v>
      </c>
      <c r="J79" s="18">
        <v>5</v>
      </c>
      <c r="K79" s="18">
        <v>0</v>
      </c>
      <c r="L79" s="18">
        <v>0.57888666582923032</v>
      </c>
      <c r="M79" s="18">
        <v>2.214E-2</v>
      </c>
      <c r="N79" s="76">
        <v>-1.5</v>
      </c>
      <c r="O79" s="76">
        <v>1.9</v>
      </c>
      <c r="P79" s="74">
        <v>-2.42</v>
      </c>
      <c r="Q79" s="74">
        <v>-4.63</v>
      </c>
      <c r="R79" s="89"/>
    </row>
    <row r="80" spans="2:18">
      <c r="B80" s="88">
        <v>45238.546527777777</v>
      </c>
      <c r="C80" s="18">
        <v>5</v>
      </c>
      <c r="D80" s="19">
        <v>-2.2000000000000002</v>
      </c>
      <c r="E80" s="19">
        <v>-3.3</v>
      </c>
      <c r="F80" s="18">
        <f t="shared" si="2"/>
        <v>14.3</v>
      </c>
      <c r="G80" s="20">
        <v>26.3</v>
      </c>
      <c r="H80" s="20">
        <f>0.0283168466*'Hailey''s Data'!I78</f>
        <v>0.13167333669</v>
      </c>
      <c r="I80" s="18" t="s">
        <v>8</v>
      </c>
      <c r="J80" s="18">
        <v>80</v>
      </c>
      <c r="K80" s="18">
        <v>0</v>
      </c>
      <c r="L80" s="18">
        <v>0.92735936513912309</v>
      </c>
      <c r="M80" s="18">
        <v>7.3910299999999998E-2</v>
      </c>
      <c r="N80" s="76">
        <v>-1.5</v>
      </c>
      <c r="O80" s="76">
        <v>1.9</v>
      </c>
      <c r="P80" s="74">
        <v>-2.42</v>
      </c>
      <c r="Q80" s="74">
        <v>-4.63</v>
      </c>
      <c r="R80" s="89"/>
    </row>
    <row r="81" spans="2:18">
      <c r="B81" s="88">
        <v>45239.548611111109</v>
      </c>
      <c r="C81" s="18">
        <v>6</v>
      </c>
      <c r="D81" s="19">
        <v>-2.4</v>
      </c>
      <c r="E81" s="19">
        <v>-4.5999999999999996</v>
      </c>
      <c r="F81" s="18">
        <f t="shared" si="2"/>
        <v>14.6</v>
      </c>
      <c r="G81" s="20">
        <v>23.5</v>
      </c>
      <c r="H81" s="20">
        <f>0.0283168466*'Hailey''s Data'!I79</f>
        <v>8.5233708265999991E-2</v>
      </c>
      <c r="I81" s="18" t="s">
        <v>8</v>
      </c>
      <c r="J81" s="18">
        <v>80</v>
      </c>
      <c r="K81" s="18">
        <v>0</v>
      </c>
      <c r="L81" s="18">
        <v>1.5485403061091088</v>
      </c>
      <c r="M81" s="18">
        <v>2.4210300000000001E-2</v>
      </c>
      <c r="N81" s="76">
        <v>-1.5</v>
      </c>
      <c r="O81" s="76">
        <v>1.9</v>
      </c>
      <c r="P81" s="74">
        <v>-2.42</v>
      </c>
      <c r="Q81" s="74">
        <v>-4.63</v>
      </c>
      <c r="R81" s="89"/>
    </row>
    <row r="82" spans="2:18">
      <c r="B82" s="88">
        <v>45239.577777777777</v>
      </c>
      <c r="C82" s="18">
        <v>6</v>
      </c>
      <c r="D82" s="19">
        <v>-2.4</v>
      </c>
      <c r="E82" s="19">
        <v>-5.2</v>
      </c>
      <c r="F82" s="18">
        <f t="shared" si="2"/>
        <v>14</v>
      </c>
      <c r="G82" s="20">
        <v>24.2</v>
      </c>
      <c r="H82" s="20">
        <f>0.0283168466*'Hailey''s Data'!I80</f>
        <v>0.13167333669</v>
      </c>
      <c r="I82" s="18" t="s">
        <v>8</v>
      </c>
      <c r="J82" s="18">
        <v>80</v>
      </c>
      <c r="K82" s="18">
        <v>0</v>
      </c>
      <c r="L82" s="18">
        <v>5.1090075725284478</v>
      </c>
      <c r="M82" s="18">
        <v>2.4210300000000001E-2</v>
      </c>
      <c r="N82" s="76">
        <v>-1.5</v>
      </c>
      <c r="O82" s="76">
        <v>1.9</v>
      </c>
      <c r="P82" s="74">
        <v>-2.42</v>
      </c>
      <c r="Q82" s="74">
        <v>-4.63</v>
      </c>
      <c r="R82" s="89"/>
    </row>
    <row r="83" spans="2:18">
      <c r="B83" s="88">
        <v>45240.433333333334</v>
      </c>
      <c r="C83" s="18">
        <v>1</v>
      </c>
      <c r="D83" s="19">
        <v>-2.4</v>
      </c>
      <c r="E83" s="19">
        <v>-3.6</v>
      </c>
      <c r="F83" s="18">
        <f t="shared" si="2"/>
        <v>15.6</v>
      </c>
      <c r="G83" s="20">
        <v>22.5</v>
      </c>
      <c r="H83" s="20">
        <f>0.0283168466*'Hailey''s Data'!I81</f>
        <v>0.10477233242</v>
      </c>
      <c r="I83" s="18" t="s">
        <v>8</v>
      </c>
      <c r="J83" s="18">
        <v>460</v>
      </c>
      <c r="K83" s="18">
        <v>0</v>
      </c>
      <c r="L83" s="18">
        <v>3.3475720597105103</v>
      </c>
      <c r="M83" s="18">
        <v>0.26539000000000001</v>
      </c>
      <c r="N83" s="76">
        <v>-1.5</v>
      </c>
      <c r="O83" s="76">
        <v>1.9</v>
      </c>
      <c r="P83" s="74">
        <v>-2.42</v>
      </c>
      <c r="Q83" s="74">
        <v>-4.63</v>
      </c>
      <c r="R83" s="89"/>
    </row>
    <row r="84" spans="2:18">
      <c r="B84" s="88">
        <v>45240.462500000001</v>
      </c>
      <c r="C84" s="18">
        <v>2</v>
      </c>
      <c r="D84" s="19">
        <v>-2.1</v>
      </c>
      <c r="E84" s="19">
        <v>-3.2</v>
      </c>
      <c r="F84" s="18">
        <f t="shared" si="2"/>
        <v>13.600000000000001</v>
      </c>
      <c r="G84" s="20">
        <v>23.5</v>
      </c>
      <c r="H84" s="20">
        <f>0.0283168466*'Hailey''s Data'!I82</f>
        <v>0.13167333669</v>
      </c>
      <c r="I84" s="18" t="s">
        <v>8</v>
      </c>
      <c r="J84" s="18">
        <v>270</v>
      </c>
      <c r="K84" s="18">
        <v>0</v>
      </c>
      <c r="L84" s="18">
        <v>1.0845230370252865</v>
      </c>
      <c r="M84" s="18">
        <v>0.16953599999999999</v>
      </c>
      <c r="N84" s="76">
        <v>-1.5</v>
      </c>
      <c r="O84" s="76">
        <v>1.9</v>
      </c>
      <c r="P84" s="74">
        <v>-2.42</v>
      </c>
      <c r="Q84" s="74">
        <v>-4.63</v>
      </c>
      <c r="R84" s="89"/>
    </row>
    <row r="85" spans="2:18">
      <c r="B85" s="88">
        <v>45240.481944444444</v>
      </c>
      <c r="C85" s="18">
        <v>3</v>
      </c>
      <c r="D85" s="19">
        <v>-2.6</v>
      </c>
      <c r="E85" s="19">
        <v>-5.6</v>
      </c>
      <c r="F85" s="18">
        <f t="shared" si="2"/>
        <v>15.200000000000001</v>
      </c>
      <c r="G85" s="20">
        <v>23.2</v>
      </c>
      <c r="H85" s="20">
        <f>0.0283168466*'Hailey''s Data'!I83</f>
        <v>0.26051498872000001</v>
      </c>
      <c r="I85" s="18" t="s">
        <v>8</v>
      </c>
      <c r="J85" s="18">
        <v>230</v>
      </c>
      <c r="K85" s="18">
        <v>0</v>
      </c>
      <c r="L85" s="18">
        <v>0.20792619952621424</v>
      </c>
      <c r="M85" s="18">
        <v>6.7313200000000004E-2</v>
      </c>
      <c r="N85" s="76">
        <v>-1.5</v>
      </c>
      <c r="O85" s="76">
        <v>1.9</v>
      </c>
      <c r="P85" s="74">
        <v>-2.42</v>
      </c>
      <c r="Q85" s="74">
        <v>-4.63</v>
      </c>
      <c r="R85" s="89"/>
    </row>
    <row r="86" spans="2:18">
      <c r="B86" s="88">
        <v>45240.5</v>
      </c>
      <c r="C86" s="18">
        <v>4</v>
      </c>
      <c r="D86" s="19">
        <v>-2.5</v>
      </c>
      <c r="E86" s="19">
        <v>-5.0999999999999996</v>
      </c>
      <c r="F86" s="18">
        <f t="shared" si="2"/>
        <v>14.9</v>
      </c>
      <c r="G86" s="20">
        <v>24.6</v>
      </c>
      <c r="H86" s="20">
        <f>0.0283168466*'Hailey''s Data'!I84</f>
        <v>8.0419844343999999E-2</v>
      </c>
      <c r="I86" s="18" t="s">
        <v>8</v>
      </c>
      <c r="J86" s="18">
        <v>80</v>
      </c>
      <c r="K86" s="18">
        <v>0</v>
      </c>
      <c r="L86" s="18">
        <v>0.76700373522734688</v>
      </c>
      <c r="M86" s="18">
        <v>0.20750399999999999</v>
      </c>
      <c r="N86" s="76">
        <v>-1.5</v>
      </c>
      <c r="O86" s="76">
        <v>1.9</v>
      </c>
      <c r="P86" s="74">
        <v>-2.42</v>
      </c>
      <c r="Q86" s="74">
        <v>-4.63</v>
      </c>
      <c r="R86" s="89"/>
    </row>
    <row r="87" spans="2:18">
      <c r="B87" s="88">
        <v>45259.463194444441</v>
      </c>
      <c r="C87" s="18">
        <v>7</v>
      </c>
      <c r="D87" s="19">
        <v>-5.6</v>
      </c>
      <c r="E87" s="19">
        <v>-31.9</v>
      </c>
      <c r="F87" s="18">
        <f t="shared" si="2"/>
        <v>12.899999999999999</v>
      </c>
      <c r="G87" s="20">
        <v>22.9</v>
      </c>
      <c r="H87" s="20">
        <f>0.0283168466*'Hailey''s Data'!I85</f>
        <v>8.0419844343999999E-2</v>
      </c>
      <c r="I87" s="18" t="s">
        <v>8</v>
      </c>
      <c r="J87" s="18">
        <v>5</v>
      </c>
      <c r="K87" s="18">
        <v>25.4</v>
      </c>
      <c r="L87" s="18">
        <v>0.2697208501278941</v>
      </c>
      <c r="M87" s="18">
        <v>2.0970800000000001E-2</v>
      </c>
      <c r="N87" s="76">
        <v>0</v>
      </c>
      <c r="O87" s="76">
        <v>6.1</v>
      </c>
      <c r="P87" s="74">
        <v>-2.42</v>
      </c>
      <c r="Q87" s="74">
        <v>-4.63</v>
      </c>
      <c r="R87" s="89"/>
    </row>
    <row r="88" spans="2:18">
      <c r="B88" s="88">
        <v>45260.520833333336</v>
      </c>
      <c r="C88" s="18">
        <v>7</v>
      </c>
      <c r="D88" s="19">
        <v>-2.7</v>
      </c>
      <c r="E88" s="19">
        <v>-6.7</v>
      </c>
      <c r="F88" s="18">
        <f t="shared" si="2"/>
        <v>14.900000000000002</v>
      </c>
      <c r="G88" s="20">
        <v>22.7</v>
      </c>
      <c r="H88" s="20">
        <f>0.0283168466*'Hailey''s Data'!I86</f>
        <v>8.0419844343999999E-2</v>
      </c>
      <c r="I88" s="18" t="s">
        <v>8</v>
      </c>
      <c r="J88" s="18">
        <v>5</v>
      </c>
      <c r="K88" s="18">
        <v>32.299999999999997</v>
      </c>
      <c r="L88" s="18">
        <v>3.7815514613837302</v>
      </c>
      <c r="M88" s="18">
        <v>2.214E-2</v>
      </c>
      <c r="N88" s="76">
        <v>0</v>
      </c>
      <c r="O88" s="76">
        <v>6.1</v>
      </c>
      <c r="P88" s="74">
        <v>-2.42</v>
      </c>
      <c r="Q88" s="74">
        <v>-4.63</v>
      </c>
      <c r="R88" s="89"/>
    </row>
    <row r="89" spans="2:18">
      <c r="B89" s="88">
        <v>45260.541666666664</v>
      </c>
      <c r="C89" s="18">
        <v>6</v>
      </c>
      <c r="D89" s="19">
        <v>-2.5</v>
      </c>
      <c r="E89" s="19">
        <v>-6.1</v>
      </c>
      <c r="F89" s="18">
        <f t="shared" si="2"/>
        <v>13.9</v>
      </c>
      <c r="G89" s="20">
        <v>22.7</v>
      </c>
      <c r="H89" s="20">
        <f>0.0283168466*'Hailey''s Data'!I87</f>
        <v>7.588914888800001E-2</v>
      </c>
      <c r="I89" s="18" t="s">
        <v>8</v>
      </c>
      <c r="J89" s="18">
        <v>80</v>
      </c>
      <c r="K89" s="18">
        <v>32.299999999999997</v>
      </c>
      <c r="L89" s="18">
        <v>0.40763183687036236</v>
      </c>
      <c r="M89" s="18">
        <v>2.4210300000000001E-2</v>
      </c>
      <c r="N89" s="76">
        <v>0</v>
      </c>
      <c r="O89" s="76">
        <v>6.1</v>
      </c>
      <c r="P89" s="74">
        <v>-2.42</v>
      </c>
      <c r="Q89" s="74">
        <v>-4.63</v>
      </c>
      <c r="R89" s="89"/>
    </row>
    <row r="90" spans="2:18">
      <c r="B90" s="88">
        <v>45260.5625</v>
      </c>
      <c r="C90" s="18">
        <v>6</v>
      </c>
      <c r="D90" s="19">
        <v>-2.5</v>
      </c>
      <c r="E90" s="19">
        <v>-5.4</v>
      </c>
      <c r="F90" s="18">
        <f t="shared" si="2"/>
        <v>14.6</v>
      </c>
      <c r="G90" s="20">
        <v>22.8</v>
      </c>
      <c r="H90" s="20">
        <f>0.0283168466*'Hailey''s Data'!I88</f>
        <v>5.8615872462E-2</v>
      </c>
      <c r="I90" s="18" t="s">
        <v>8</v>
      </c>
      <c r="J90" s="18">
        <v>80</v>
      </c>
      <c r="K90" s="18">
        <v>32.299999999999997</v>
      </c>
      <c r="L90" s="18">
        <v>1.217905915908595</v>
      </c>
      <c r="M90" s="18">
        <v>2.4210300000000001E-2</v>
      </c>
      <c r="N90" s="76">
        <v>0</v>
      </c>
      <c r="O90" s="76">
        <v>6.1</v>
      </c>
      <c r="P90" s="74">
        <v>-2.42</v>
      </c>
      <c r="Q90" s="74">
        <v>-4.63</v>
      </c>
      <c r="R90" s="89"/>
    </row>
    <row r="91" spans="2:18">
      <c r="B91" s="88">
        <v>45260.590277777781</v>
      </c>
      <c r="C91" s="18">
        <v>5</v>
      </c>
      <c r="D91" s="19">
        <v>-2.5</v>
      </c>
      <c r="E91" s="19">
        <v>-5.4</v>
      </c>
      <c r="F91" s="18">
        <f t="shared" si="2"/>
        <v>14.6</v>
      </c>
      <c r="G91" s="20">
        <v>22.9</v>
      </c>
      <c r="H91" s="20">
        <f>0.0283168466*'Hailey''s Data'!I89</f>
        <v>5.8615872462E-2</v>
      </c>
      <c r="I91" s="18" t="s">
        <v>8</v>
      </c>
      <c r="J91" s="18">
        <v>80</v>
      </c>
      <c r="K91" s="18">
        <v>32.299999999999997</v>
      </c>
      <c r="L91" s="18">
        <v>0.74393953250635048</v>
      </c>
      <c r="M91" s="18">
        <v>6.63469E-2</v>
      </c>
      <c r="N91" s="76">
        <v>0</v>
      </c>
      <c r="O91" s="76">
        <v>6.1</v>
      </c>
      <c r="P91" s="74">
        <v>-2.42</v>
      </c>
      <c r="Q91" s="74">
        <v>-4.63</v>
      </c>
      <c r="R91" s="89"/>
    </row>
    <row r="92" spans="2:18">
      <c r="B92" s="88">
        <v>45261.4375</v>
      </c>
      <c r="C92" s="18">
        <v>3</v>
      </c>
      <c r="D92" s="19">
        <v>-3.9</v>
      </c>
      <c r="E92" s="19">
        <v>-18.899999999999999</v>
      </c>
      <c r="F92" s="18">
        <f t="shared" si="2"/>
        <v>12.3</v>
      </c>
      <c r="G92" s="20">
        <v>20.9</v>
      </c>
      <c r="H92" s="20">
        <f>0.0283168466*'Hailey''s Data'!I90</f>
        <v>5.8615872462E-2</v>
      </c>
      <c r="I92" s="18" t="s">
        <v>8</v>
      </c>
      <c r="J92" s="18">
        <v>230</v>
      </c>
      <c r="K92" s="18">
        <v>17.8</v>
      </c>
      <c r="L92" s="18">
        <v>2.4291690234322134</v>
      </c>
      <c r="M92" s="18">
        <v>4.94799E-2</v>
      </c>
      <c r="N92" s="76">
        <v>0</v>
      </c>
      <c r="O92" s="76">
        <v>6.1</v>
      </c>
      <c r="P92" s="74">
        <v>-2.42</v>
      </c>
      <c r="Q92" s="74">
        <v>-4.63</v>
      </c>
      <c r="R92" s="89"/>
    </row>
    <row r="93" spans="2:18">
      <c r="B93" s="88">
        <v>45261.45208333333</v>
      </c>
      <c r="C93" s="18">
        <v>2</v>
      </c>
      <c r="D93" s="19">
        <v>-3.8</v>
      </c>
      <c r="E93" s="19">
        <v>-18.399999999999999</v>
      </c>
      <c r="F93" s="18">
        <f t="shared" si="2"/>
        <v>12</v>
      </c>
      <c r="G93" s="20">
        <v>20.9</v>
      </c>
      <c r="H93" s="20">
        <f>0.0283168466*'Hailey''s Data'!I91</f>
        <v>5.8615872462E-2</v>
      </c>
      <c r="I93" s="18" t="s">
        <v>8</v>
      </c>
      <c r="J93" s="18">
        <v>270</v>
      </c>
      <c r="K93" s="18">
        <v>17.8</v>
      </c>
      <c r="L93" s="18">
        <v>1.0966073953127433</v>
      </c>
      <c r="M93" s="18">
        <v>0.12698300000000001</v>
      </c>
      <c r="N93" s="76">
        <v>0</v>
      </c>
      <c r="O93" s="76">
        <v>6.1</v>
      </c>
      <c r="P93" s="74">
        <v>-2.42</v>
      </c>
      <c r="Q93" s="74">
        <v>-4.63</v>
      </c>
      <c r="R93" s="89"/>
    </row>
    <row r="94" spans="2:18">
      <c r="B94" s="88">
        <v>45266.4375</v>
      </c>
      <c r="C94" s="18">
        <v>1</v>
      </c>
      <c r="D94" s="19">
        <v>-2.8</v>
      </c>
      <c r="E94" s="19">
        <v>-6.6</v>
      </c>
      <c r="F94" s="18">
        <f t="shared" si="2"/>
        <v>15.799999999999999</v>
      </c>
      <c r="G94" s="20">
        <v>20.9</v>
      </c>
      <c r="H94" s="20">
        <f>0.0283168466*'Hailey''s Data'!I92</f>
        <v>5.8615872462E-2</v>
      </c>
      <c r="I94" s="18" t="s">
        <v>8</v>
      </c>
      <c r="J94" s="18">
        <v>460</v>
      </c>
      <c r="K94" s="18">
        <v>24.1</v>
      </c>
      <c r="L94" s="18">
        <v>8.8017229812190685</v>
      </c>
      <c r="M94" s="18">
        <v>0.22950799999999999</v>
      </c>
      <c r="N94" s="76">
        <v>-4.5999999999999996</v>
      </c>
      <c r="O94" s="76">
        <v>-25.2</v>
      </c>
      <c r="P94" s="74">
        <v>-2.42</v>
      </c>
      <c r="Q94" s="74">
        <v>-4.63</v>
      </c>
      <c r="R94" s="89"/>
    </row>
    <row r="95" spans="2:18">
      <c r="B95" s="88">
        <v>45266.468055555553</v>
      </c>
      <c r="C95" s="18">
        <v>4</v>
      </c>
      <c r="D95" s="19">
        <v>-2.4</v>
      </c>
      <c r="E95" s="19">
        <v>-5.0999999999999996</v>
      </c>
      <c r="F95" s="18">
        <f t="shared" si="2"/>
        <v>14.1</v>
      </c>
      <c r="G95" s="20">
        <v>22.5</v>
      </c>
      <c r="H95" s="20">
        <f>0.0283168466*'Hailey''s Data'!I93</f>
        <v>5.8615872462E-2</v>
      </c>
      <c r="I95" s="18" t="s">
        <v>8</v>
      </c>
      <c r="J95" s="18">
        <v>80</v>
      </c>
      <c r="K95" s="18">
        <v>24.1</v>
      </c>
      <c r="L95" s="18">
        <v>6.6731262657303949</v>
      </c>
      <c r="M95" s="18">
        <v>0.210845</v>
      </c>
      <c r="N95" s="76">
        <v>-4.5999999999999996</v>
      </c>
      <c r="O95" s="76">
        <v>-25.2</v>
      </c>
      <c r="P95" s="74">
        <v>-2.42</v>
      </c>
      <c r="Q95" s="74">
        <v>-4.63</v>
      </c>
      <c r="R95" s="89"/>
    </row>
    <row r="96" spans="2:18">
      <c r="B96" s="88">
        <v>45344.600694444445</v>
      </c>
      <c r="C96" s="18">
        <v>1</v>
      </c>
      <c r="D96" s="20">
        <v>-2.4</v>
      </c>
      <c r="E96" s="20">
        <v>-2.5</v>
      </c>
      <c r="F96" s="18">
        <f t="shared" si="2"/>
        <v>16.7</v>
      </c>
      <c r="G96" s="20">
        <v>19.5</v>
      </c>
      <c r="H96" s="20">
        <f>0.0283168466*'Hailey''s Data'!I94</f>
        <v>4.1342596036000003</v>
      </c>
      <c r="I96" s="18" t="s">
        <v>8</v>
      </c>
      <c r="J96" s="18">
        <v>460</v>
      </c>
      <c r="K96" s="18">
        <v>7.1</v>
      </c>
      <c r="L96" s="18">
        <v>2.560069084658394</v>
      </c>
      <c r="M96" s="18">
        <v>0.397368</v>
      </c>
      <c r="N96" s="18"/>
      <c r="O96" s="75"/>
      <c r="P96" s="74">
        <v>-2.42</v>
      </c>
      <c r="Q96" s="74">
        <v>-4.63</v>
      </c>
      <c r="R96" s="89"/>
    </row>
    <row r="97" spans="2:18">
      <c r="B97" s="88">
        <v>45344.640277777777</v>
      </c>
      <c r="C97" s="18">
        <v>2</v>
      </c>
      <c r="D97" s="20">
        <v>-2.2000000000000002</v>
      </c>
      <c r="E97" s="20">
        <v>-3.7</v>
      </c>
      <c r="F97" s="18">
        <f t="shared" si="2"/>
        <v>13.900000000000002</v>
      </c>
      <c r="G97" s="20">
        <v>22.8</v>
      </c>
      <c r="H97" s="20">
        <f>0.0283168466*'Hailey''s Data'!I95</f>
        <v>3.5396058250000002</v>
      </c>
      <c r="I97" s="18" t="s">
        <v>8</v>
      </c>
      <c r="J97" s="18">
        <v>270</v>
      </c>
      <c r="K97" s="18">
        <v>7.1</v>
      </c>
      <c r="L97" s="18">
        <v>5.9383413977401505</v>
      </c>
      <c r="M97" s="18">
        <v>0.15940199999999999</v>
      </c>
      <c r="N97" s="18"/>
      <c r="O97" s="75"/>
      <c r="P97" s="74">
        <v>-2.42</v>
      </c>
      <c r="Q97" s="74">
        <v>-4.63</v>
      </c>
      <c r="R97" s="89"/>
    </row>
    <row r="98" spans="2:18">
      <c r="B98" s="88">
        <v>45344.663888888892</v>
      </c>
      <c r="C98" s="18">
        <v>3</v>
      </c>
      <c r="D98" s="20">
        <v>-2.6</v>
      </c>
      <c r="E98" s="20">
        <v>-5.6</v>
      </c>
      <c r="F98" s="18">
        <f t="shared" si="2"/>
        <v>15.200000000000001</v>
      </c>
      <c r="G98" s="20">
        <v>22.5</v>
      </c>
      <c r="H98" s="20">
        <f>0.0283168466*'Hailey''s Data'!I96</f>
        <v>0.33980215920000001</v>
      </c>
      <c r="I98" s="18" t="s">
        <v>8</v>
      </c>
      <c r="J98" s="18">
        <v>230</v>
      </c>
      <c r="K98" s="18">
        <v>7.1</v>
      </c>
      <c r="L98" s="18">
        <v>7.1595382275244299</v>
      </c>
      <c r="M98" s="18">
        <v>5.8161600000000001E-2</v>
      </c>
      <c r="N98" s="18"/>
      <c r="O98" s="75"/>
      <c r="P98" s="74">
        <v>-2.42</v>
      </c>
      <c r="Q98" s="74">
        <v>-4.63</v>
      </c>
      <c r="R98" s="89"/>
    </row>
    <row r="99" spans="2:18">
      <c r="B99" s="88">
        <v>45344.681250000001</v>
      </c>
      <c r="C99" s="18">
        <v>4</v>
      </c>
      <c r="D99" s="20">
        <v>-2.4</v>
      </c>
      <c r="E99" s="20">
        <v>-4.8</v>
      </c>
      <c r="F99" s="18">
        <f t="shared" ref="F99:F130" si="3">E99 - (8*D99)</f>
        <v>14.399999999999999</v>
      </c>
      <c r="G99" s="20">
        <v>23.6</v>
      </c>
      <c r="H99" s="20">
        <f>0.0283168466*'Hailey''s Data'!I97</f>
        <v>0.33980215920000001</v>
      </c>
      <c r="I99" s="18" t="s">
        <v>8</v>
      </c>
      <c r="J99" s="18">
        <v>80</v>
      </c>
      <c r="K99" s="18">
        <v>7.1</v>
      </c>
      <c r="L99" s="18">
        <v>9.4278578893230893</v>
      </c>
      <c r="M99" s="18">
        <v>0.16870099999999999</v>
      </c>
      <c r="N99" s="18"/>
      <c r="O99" s="75"/>
      <c r="P99" s="74">
        <v>-2.42</v>
      </c>
      <c r="Q99" s="74">
        <v>-4.63</v>
      </c>
      <c r="R99" s="89"/>
    </row>
    <row r="100" spans="2:18">
      <c r="B100" s="88">
        <v>45345.380555555559</v>
      </c>
      <c r="C100" s="18">
        <v>6</v>
      </c>
      <c r="D100" s="20">
        <v>-1.6</v>
      </c>
      <c r="E100" s="20">
        <v>1.3</v>
      </c>
      <c r="F100" s="18">
        <f t="shared" si="3"/>
        <v>14.100000000000001</v>
      </c>
      <c r="G100" s="20">
        <v>21</v>
      </c>
      <c r="H100" s="20">
        <f>0.0283168466*'Hailey''s Data'!I98</f>
        <v>0.33980215920000001</v>
      </c>
      <c r="I100" s="18" t="s">
        <v>8</v>
      </c>
      <c r="J100" s="18">
        <v>80</v>
      </c>
      <c r="K100" s="18">
        <v>10.9</v>
      </c>
      <c r="L100" s="18">
        <v>4.7944548102216711</v>
      </c>
      <c r="M100" s="18">
        <v>5.5910100000000004E-3</v>
      </c>
      <c r="N100" s="18"/>
      <c r="O100" s="75"/>
      <c r="P100" s="74">
        <v>-2.42</v>
      </c>
      <c r="Q100" s="74">
        <v>-4.63</v>
      </c>
      <c r="R100" s="89"/>
    </row>
    <row r="101" spans="2:18">
      <c r="B101" s="88">
        <v>45345.411111111112</v>
      </c>
      <c r="C101" s="18">
        <v>6</v>
      </c>
      <c r="D101" s="20">
        <v>-1.5</v>
      </c>
      <c r="E101" s="20">
        <v>2.1</v>
      </c>
      <c r="F101" s="18">
        <f t="shared" si="3"/>
        <v>14.1</v>
      </c>
      <c r="G101" s="20">
        <v>21.2</v>
      </c>
      <c r="H101" s="20">
        <f>0.0283168466*'Hailey''s Data'!I99</f>
        <v>0.33130710522000001</v>
      </c>
      <c r="I101" s="18" t="s">
        <v>8</v>
      </c>
      <c r="J101" s="18">
        <v>80</v>
      </c>
      <c r="K101" s="18">
        <v>10.9</v>
      </c>
      <c r="L101" s="18">
        <v>8.2670822242989139</v>
      </c>
      <c r="M101" s="18">
        <v>5.5910100000000004E-3</v>
      </c>
      <c r="N101" s="18"/>
      <c r="O101" s="75"/>
      <c r="P101" s="74">
        <v>-2.42</v>
      </c>
      <c r="Q101" s="74">
        <v>-4.63</v>
      </c>
      <c r="R101" s="89"/>
    </row>
    <row r="102" spans="2:18">
      <c r="B102" s="88">
        <v>45351.558333333334</v>
      </c>
      <c r="C102" s="18">
        <v>7</v>
      </c>
      <c r="D102" s="20">
        <v>-2.4</v>
      </c>
      <c r="E102" s="20">
        <v>-3.2</v>
      </c>
      <c r="F102" s="18">
        <f t="shared" si="3"/>
        <v>16</v>
      </c>
      <c r="G102" s="20">
        <v>24.4</v>
      </c>
      <c r="H102" s="20">
        <f>0.0283168466*'Hailey''s Data'!I100</f>
        <v>0.54651513938000007</v>
      </c>
      <c r="I102" s="18" t="s">
        <v>8</v>
      </c>
      <c r="J102" s="18">
        <v>5</v>
      </c>
      <c r="K102" s="18">
        <v>53.8</v>
      </c>
      <c r="L102" s="18">
        <v>0.93092233936043089</v>
      </c>
      <c r="M102" s="18">
        <v>2.23054E-2</v>
      </c>
      <c r="N102" s="18"/>
      <c r="O102" s="75"/>
      <c r="P102" s="74">
        <v>-2.42</v>
      </c>
      <c r="Q102" s="74">
        <v>-4.63</v>
      </c>
      <c r="R102" s="89"/>
    </row>
    <row r="103" spans="2:18">
      <c r="B103" s="88">
        <v>45351.579861111109</v>
      </c>
      <c r="C103" s="18">
        <v>7</v>
      </c>
      <c r="D103" s="20">
        <v>-2.2999999999999998</v>
      </c>
      <c r="E103" s="20">
        <v>-2.5</v>
      </c>
      <c r="F103" s="18">
        <f t="shared" si="3"/>
        <v>15.899999999999999</v>
      </c>
      <c r="G103" s="20">
        <v>23.8</v>
      </c>
      <c r="H103" s="20">
        <f>0.0283168466*'Hailey''s Data'!I101</f>
        <v>0.68809937238000007</v>
      </c>
      <c r="I103" s="18" t="s">
        <v>8</v>
      </c>
      <c r="J103" s="18">
        <v>5</v>
      </c>
      <c r="K103" s="18">
        <v>53.8</v>
      </c>
      <c r="L103" s="18">
        <v>2.7158395152938337</v>
      </c>
      <c r="M103" s="18">
        <v>2.23054E-2</v>
      </c>
      <c r="N103" s="18"/>
      <c r="O103" s="75"/>
      <c r="P103" s="74">
        <v>-2.42</v>
      </c>
      <c r="Q103" s="74">
        <v>-4.63</v>
      </c>
      <c r="R103" s="89"/>
    </row>
    <row r="104" spans="2:18">
      <c r="B104" s="88">
        <v>45351.611805555556</v>
      </c>
      <c r="C104" s="18">
        <v>5</v>
      </c>
      <c r="D104" s="20">
        <v>-2.4</v>
      </c>
      <c r="E104" s="20">
        <v>-3.1</v>
      </c>
      <c r="F104" s="18">
        <f t="shared" si="3"/>
        <v>16.099999999999998</v>
      </c>
      <c r="G104" s="20">
        <v>23.8</v>
      </c>
      <c r="H104" s="20">
        <f>0.0283168466*'Hailey''s Data'!I102</f>
        <v>0.23333081598400002</v>
      </c>
      <c r="I104" s="18" t="s">
        <v>8</v>
      </c>
      <c r="J104" s="18">
        <v>80</v>
      </c>
      <c r="K104" s="18">
        <v>53.8</v>
      </c>
      <c r="L104" s="18">
        <v>6.2799907040101131</v>
      </c>
      <c r="M104" s="18">
        <v>6.6970399999999999E-2</v>
      </c>
      <c r="N104" s="18"/>
      <c r="O104" s="75"/>
      <c r="P104" s="74">
        <v>-2.42</v>
      </c>
      <c r="Q104" s="74">
        <v>-4.63</v>
      </c>
      <c r="R104" s="89"/>
    </row>
    <row r="105" spans="2:18">
      <c r="B105" s="90">
        <v>46001.361111111109</v>
      </c>
      <c r="C105" s="18">
        <v>5</v>
      </c>
      <c r="D105" s="21">
        <v>-2.2999999999999998</v>
      </c>
      <c r="E105" s="21">
        <v>-3.8</v>
      </c>
      <c r="F105" s="18">
        <f t="shared" si="3"/>
        <v>14.599999999999998</v>
      </c>
      <c r="G105" s="18">
        <v>21.6</v>
      </c>
      <c r="H105" s="18">
        <v>9.6818425000000014E-2</v>
      </c>
      <c r="I105" s="18" t="s">
        <v>8</v>
      </c>
      <c r="J105" s="18">
        <v>80</v>
      </c>
      <c r="K105" s="18">
        <v>0</v>
      </c>
      <c r="L105" s="18">
        <v>13.077484395006453</v>
      </c>
      <c r="M105" s="18">
        <v>1.11231E-2</v>
      </c>
      <c r="N105" s="22"/>
      <c r="O105" s="22"/>
      <c r="P105" s="74">
        <v>-2.42</v>
      </c>
      <c r="Q105" s="74">
        <v>-4.63</v>
      </c>
      <c r="R105" s="91">
        <v>0.49</v>
      </c>
    </row>
    <row r="106" spans="2:18">
      <c r="B106" s="90">
        <v>46001.409722222219</v>
      </c>
      <c r="C106" s="18">
        <v>4</v>
      </c>
      <c r="D106" s="21">
        <v>-2.4</v>
      </c>
      <c r="E106" s="21">
        <v>-4.0999999999999996</v>
      </c>
      <c r="F106" s="18">
        <f t="shared" si="3"/>
        <v>15.1</v>
      </c>
      <c r="G106" s="18">
        <v>21.4</v>
      </c>
      <c r="H106" s="18">
        <v>7.3870850000000002E-2</v>
      </c>
      <c r="I106" s="18" t="s">
        <v>8</v>
      </c>
      <c r="J106" s="18">
        <v>80</v>
      </c>
      <c r="K106" s="18">
        <v>0</v>
      </c>
      <c r="L106" s="18">
        <v>32.712148647331908</v>
      </c>
      <c r="M106" s="18">
        <v>9.0940699999999999E-2</v>
      </c>
      <c r="N106" s="22"/>
      <c r="O106" s="22"/>
      <c r="P106" s="74">
        <v>-2.42</v>
      </c>
      <c r="Q106" s="74">
        <v>-4.63</v>
      </c>
      <c r="R106" s="91">
        <v>0.52</v>
      </c>
    </row>
    <row r="107" spans="2:18">
      <c r="B107" s="90">
        <v>46001.473611111112</v>
      </c>
      <c r="C107" s="18">
        <v>1</v>
      </c>
      <c r="D107" s="21">
        <v>-2.1</v>
      </c>
      <c r="E107" s="21">
        <v>-3.3</v>
      </c>
      <c r="F107" s="18">
        <f t="shared" si="3"/>
        <v>13.5</v>
      </c>
      <c r="G107" s="21">
        <v>22</v>
      </c>
      <c r="H107" s="18">
        <v>3.1959000000000002E-3</v>
      </c>
      <c r="I107" s="18" t="s">
        <v>8</v>
      </c>
      <c r="J107" s="18">
        <v>460</v>
      </c>
      <c r="K107" s="18">
        <v>0</v>
      </c>
      <c r="L107" s="18">
        <v>10.281100270273566</v>
      </c>
      <c r="M107" s="18">
        <v>0.30540699999999998</v>
      </c>
      <c r="N107" s="22"/>
      <c r="O107" s="22"/>
      <c r="P107" s="74">
        <v>-2.42</v>
      </c>
      <c r="Q107" s="74">
        <v>-4.63</v>
      </c>
      <c r="R107" s="91">
        <v>0.5</v>
      </c>
    </row>
    <row r="108" spans="2:18">
      <c r="B108" s="90">
        <v>46001.510416666664</v>
      </c>
      <c r="C108" s="18">
        <v>2</v>
      </c>
      <c r="D108" s="21">
        <v>-2.1</v>
      </c>
      <c r="E108" s="21">
        <v>-2.7</v>
      </c>
      <c r="F108" s="18">
        <f t="shared" si="3"/>
        <v>14.100000000000001</v>
      </c>
      <c r="G108" s="18">
        <v>21.9</v>
      </c>
      <c r="H108" s="18">
        <v>1.5066890000000001E-2</v>
      </c>
      <c r="I108" s="18" t="s">
        <v>8</v>
      </c>
      <c r="J108" s="18">
        <v>270</v>
      </c>
      <c r="K108" s="18">
        <v>0</v>
      </c>
      <c r="L108" s="18">
        <v>7.0312998488008001</v>
      </c>
      <c r="M108" s="18">
        <v>0.16201399999999999</v>
      </c>
      <c r="N108" s="22"/>
      <c r="O108" s="22"/>
      <c r="P108" s="74">
        <v>-2.42</v>
      </c>
      <c r="Q108" s="74">
        <v>-4.63</v>
      </c>
      <c r="R108" s="91">
        <v>0.47</v>
      </c>
    </row>
    <row r="109" spans="2:18">
      <c r="B109" s="90">
        <v>46001.536111111112</v>
      </c>
      <c r="C109" s="18">
        <v>3</v>
      </c>
      <c r="D109" s="21">
        <v>-2.4</v>
      </c>
      <c r="E109" s="21">
        <v>-4.0999999999999996</v>
      </c>
      <c r="F109" s="18">
        <f t="shared" si="3"/>
        <v>15.1</v>
      </c>
      <c r="G109" s="18">
        <v>24</v>
      </c>
      <c r="H109" s="18">
        <v>7.3870850000000002E-2</v>
      </c>
      <c r="I109" s="18" t="s">
        <v>8</v>
      </c>
      <c r="J109" s="18">
        <v>230</v>
      </c>
      <c r="K109" s="18">
        <v>0</v>
      </c>
      <c r="L109" s="18">
        <v>10.034530750663777</v>
      </c>
      <c r="M109" s="18">
        <v>6.0341499999999999E-2</v>
      </c>
      <c r="N109" s="22"/>
      <c r="O109" s="22"/>
      <c r="P109" s="74">
        <v>-2.42</v>
      </c>
      <c r="Q109" s="74">
        <v>-4.63</v>
      </c>
      <c r="R109" s="91">
        <v>0.53</v>
      </c>
    </row>
    <row r="110" spans="2:18">
      <c r="B110" s="90">
        <v>46001.600694444445</v>
      </c>
      <c r="C110" s="18">
        <v>6</v>
      </c>
      <c r="D110" s="21">
        <v>-2.1</v>
      </c>
      <c r="E110" s="21">
        <v>-3.3</v>
      </c>
      <c r="F110" s="18">
        <f t="shared" si="3"/>
        <v>13.5</v>
      </c>
      <c r="G110" s="18">
        <v>24.7</v>
      </c>
      <c r="H110" s="18">
        <v>0.10129350000000001</v>
      </c>
      <c r="I110" s="18" t="s">
        <v>8</v>
      </c>
      <c r="J110" s="18">
        <v>80</v>
      </c>
      <c r="K110" s="18">
        <v>0</v>
      </c>
      <c r="L110" s="18">
        <v>8.0372760653336979</v>
      </c>
      <c r="M110" s="18">
        <v>2.1567300000000001E-2</v>
      </c>
      <c r="N110" s="22"/>
      <c r="O110" s="22"/>
      <c r="P110" s="74">
        <v>-2.42</v>
      </c>
      <c r="Q110" s="74">
        <v>-4.63</v>
      </c>
      <c r="R110" s="91">
        <v>0.4</v>
      </c>
    </row>
    <row r="111" spans="2:18">
      <c r="B111" s="92">
        <v>46002</v>
      </c>
      <c r="C111" s="18">
        <v>1</v>
      </c>
      <c r="D111" s="22">
        <v>-1.4</v>
      </c>
      <c r="E111" s="22">
        <v>4</v>
      </c>
      <c r="F111" s="18">
        <f t="shared" si="3"/>
        <v>15.2</v>
      </c>
      <c r="G111" s="18">
        <v>20</v>
      </c>
      <c r="H111" s="18">
        <f>0.02832*1.76</f>
        <v>4.9843200000000004E-2</v>
      </c>
      <c r="I111" s="18" t="s">
        <v>9</v>
      </c>
      <c r="J111" s="18">
        <v>460</v>
      </c>
      <c r="K111" s="18">
        <v>11.683999999999999</v>
      </c>
      <c r="L111" s="18"/>
      <c r="M111" s="18"/>
      <c r="N111" s="22">
        <v>-1.4</v>
      </c>
      <c r="O111" s="22">
        <v>4</v>
      </c>
      <c r="P111" s="74">
        <v>-2.42</v>
      </c>
      <c r="Q111" s="74">
        <v>-4.63</v>
      </c>
      <c r="R111" s="89"/>
    </row>
    <row r="112" spans="2:18">
      <c r="B112" s="92">
        <v>46002</v>
      </c>
      <c r="C112" s="18">
        <v>1</v>
      </c>
      <c r="D112" s="22">
        <v>-1.4</v>
      </c>
      <c r="E112" s="22">
        <v>4.2</v>
      </c>
      <c r="F112" s="18">
        <f t="shared" si="3"/>
        <v>15.399999999999999</v>
      </c>
      <c r="G112" s="18">
        <v>20</v>
      </c>
      <c r="H112" s="18">
        <f>0.02832*1.76</f>
        <v>4.9843200000000004E-2</v>
      </c>
      <c r="I112" s="18" t="s">
        <v>9</v>
      </c>
      <c r="J112" s="18">
        <v>460</v>
      </c>
      <c r="K112" s="18">
        <v>11.683999999999999</v>
      </c>
      <c r="L112" s="18"/>
      <c r="M112" s="18"/>
      <c r="N112" s="22">
        <v>-1.4</v>
      </c>
      <c r="O112" s="22">
        <v>4.2</v>
      </c>
      <c r="P112" s="74">
        <v>-2.42</v>
      </c>
      <c r="Q112" s="74">
        <v>-4.63</v>
      </c>
      <c r="R112" s="89"/>
    </row>
    <row r="113" spans="2:18">
      <c r="B113" s="90">
        <v>46002.395833333336</v>
      </c>
      <c r="C113" s="18">
        <v>5</v>
      </c>
      <c r="D113" s="21">
        <v>-2.2999999999999998</v>
      </c>
      <c r="E113" s="21">
        <v>-3.6</v>
      </c>
      <c r="F113" s="18">
        <f t="shared" si="3"/>
        <v>14.799999999999999</v>
      </c>
      <c r="G113" s="18">
        <v>22.1</v>
      </c>
      <c r="H113" s="18">
        <v>0.10892949999999998</v>
      </c>
      <c r="I113" s="18" t="s">
        <v>8</v>
      </c>
      <c r="J113" s="18">
        <v>80</v>
      </c>
      <c r="K113" s="18">
        <v>0</v>
      </c>
      <c r="L113" s="18">
        <v>1.27165588456704</v>
      </c>
      <c r="M113" s="18">
        <v>3.27912E-2</v>
      </c>
      <c r="N113" s="22"/>
      <c r="O113" s="75"/>
      <c r="P113" s="74">
        <v>-2.42</v>
      </c>
      <c r="Q113" s="74">
        <v>-4.63</v>
      </c>
      <c r="R113" s="91">
        <v>0.49</v>
      </c>
    </row>
    <row r="114" spans="2:18">
      <c r="B114" s="92">
        <v>46022</v>
      </c>
      <c r="C114" s="18">
        <v>1</v>
      </c>
      <c r="D114" s="22">
        <v>-2.2000000000000002</v>
      </c>
      <c r="E114" s="22">
        <v>-4.3</v>
      </c>
      <c r="F114" s="18">
        <f t="shared" si="3"/>
        <v>13.3</v>
      </c>
      <c r="G114" s="18">
        <v>22</v>
      </c>
      <c r="H114" s="18">
        <f>0.02832*6.01</f>
        <v>0.1702032</v>
      </c>
      <c r="I114" s="18" t="s">
        <v>9</v>
      </c>
      <c r="J114" s="18">
        <v>460</v>
      </c>
      <c r="K114" s="18">
        <v>363.47399999999999</v>
      </c>
      <c r="L114" s="18"/>
      <c r="M114" s="18"/>
      <c r="N114" s="22">
        <v>-2.2000000000000002</v>
      </c>
      <c r="O114" s="22">
        <v>-4.3</v>
      </c>
      <c r="P114" s="74">
        <v>-2.42</v>
      </c>
      <c r="Q114" s="74">
        <v>-4.63</v>
      </c>
      <c r="R114" s="89"/>
    </row>
    <row r="115" spans="2:18">
      <c r="B115" s="92">
        <v>46052</v>
      </c>
      <c r="C115" s="18">
        <v>1</v>
      </c>
      <c r="D115" s="22">
        <v>-2.4</v>
      </c>
      <c r="E115" s="22">
        <v>-3.9</v>
      </c>
      <c r="F115" s="18">
        <f t="shared" si="3"/>
        <v>15.299999999999999</v>
      </c>
      <c r="G115" s="18">
        <v>21</v>
      </c>
      <c r="H115" s="18">
        <f>0.02832*6.64</f>
        <v>0.18804480000000001</v>
      </c>
      <c r="I115" s="18" t="s">
        <v>9</v>
      </c>
      <c r="J115" s="18">
        <v>460</v>
      </c>
      <c r="K115" s="18">
        <v>263.90600000000001</v>
      </c>
      <c r="L115" s="18"/>
      <c r="M115" s="18"/>
      <c r="N115" s="22">
        <v>-2.4</v>
      </c>
      <c r="O115" s="22">
        <v>-3.9</v>
      </c>
      <c r="P115" s="74">
        <v>-2.42</v>
      </c>
      <c r="Q115" s="74">
        <v>-4.63</v>
      </c>
      <c r="R115" s="89"/>
    </row>
    <row r="116" spans="2:18">
      <c r="B116" s="92">
        <v>46056</v>
      </c>
      <c r="C116" s="18">
        <v>1</v>
      </c>
      <c r="D116" s="22">
        <v>-1.6</v>
      </c>
      <c r="E116" s="22">
        <v>0.3</v>
      </c>
      <c r="F116" s="18">
        <f t="shared" si="3"/>
        <v>13.100000000000001</v>
      </c>
      <c r="G116" s="18">
        <v>24</v>
      </c>
      <c r="H116" s="18">
        <f>0.02832*2.31</f>
        <v>6.5419200000000011E-2</v>
      </c>
      <c r="I116" s="18" t="s">
        <v>9</v>
      </c>
      <c r="J116" s="18">
        <v>460</v>
      </c>
      <c r="K116" s="18">
        <v>10.16</v>
      </c>
      <c r="L116" s="18"/>
      <c r="M116" s="18"/>
      <c r="N116" s="22">
        <v>-1.6</v>
      </c>
      <c r="O116" s="22">
        <v>0.3</v>
      </c>
      <c r="P116" s="74">
        <v>-2.42</v>
      </c>
      <c r="Q116" s="74">
        <v>-4.63</v>
      </c>
      <c r="R116" s="89"/>
    </row>
    <row r="117" spans="2:18">
      <c r="B117" s="90">
        <v>46063.51458333333</v>
      </c>
      <c r="C117" s="18">
        <v>2</v>
      </c>
      <c r="D117" s="21">
        <v>-2.4</v>
      </c>
      <c r="E117" s="21">
        <v>-3.5</v>
      </c>
      <c r="F117" s="18">
        <f t="shared" si="3"/>
        <v>15.7</v>
      </c>
      <c r="G117" s="18">
        <v>20.7</v>
      </c>
      <c r="H117" s="18">
        <v>0.44147607795698929</v>
      </c>
      <c r="I117" s="18" t="s">
        <v>8</v>
      </c>
      <c r="J117" s="18">
        <v>270</v>
      </c>
      <c r="K117" s="18">
        <v>25.4</v>
      </c>
      <c r="L117" s="18">
        <v>2.6882586224509724</v>
      </c>
      <c r="M117" s="18">
        <v>0.172401</v>
      </c>
      <c r="N117" s="22">
        <v>-2.8</v>
      </c>
      <c r="O117" s="22">
        <v>-7.5</v>
      </c>
      <c r="P117" s="74">
        <v>-2.42</v>
      </c>
      <c r="Q117" s="74">
        <v>-4.63</v>
      </c>
      <c r="R117" s="91">
        <v>0.61</v>
      </c>
    </row>
    <row r="118" spans="2:18">
      <c r="B118" s="90">
        <v>46063.522222222222</v>
      </c>
      <c r="C118" s="18">
        <v>3</v>
      </c>
      <c r="D118" s="21">
        <v>-2.4</v>
      </c>
      <c r="E118" s="21">
        <v>-3.6</v>
      </c>
      <c r="F118" s="18">
        <f t="shared" si="3"/>
        <v>15.6</v>
      </c>
      <c r="G118" s="18">
        <v>21</v>
      </c>
      <c r="H118" s="18">
        <v>2.1644953360215053</v>
      </c>
      <c r="I118" s="18" t="s">
        <v>8</v>
      </c>
      <c r="J118" s="18">
        <v>230</v>
      </c>
      <c r="K118" s="18">
        <v>25.4</v>
      </c>
      <c r="L118" s="18">
        <v>4.9054900269077422</v>
      </c>
      <c r="M118" s="18">
        <v>6.3673300000000002E-2</v>
      </c>
      <c r="N118" s="22">
        <v>-2.8</v>
      </c>
      <c r="O118" s="22">
        <v>-7.5</v>
      </c>
      <c r="P118" s="74">
        <v>-2.42</v>
      </c>
      <c r="Q118" s="74">
        <v>-4.63</v>
      </c>
      <c r="R118" s="91">
        <v>0.66</v>
      </c>
    </row>
    <row r="119" spans="2:18">
      <c r="B119" s="90">
        <v>46063.530555555553</v>
      </c>
      <c r="C119" s="18">
        <v>4</v>
      </c>
      <c r="D119" s="21">
        <v>-2.2000000000000002</v>
      </c>
      <c r="E119" s="21">
        <v>-2.8</v>
      </c>
      <c r="F119" s="18">
        <f t="shared" si="3"/>
        <v>14.8</v>
      </c>
      <c r="G119" s="18">
        <v>22.1</v>
      </c>
      <c r="H119" s="18">
        <v>2.1644953360215053</v>
      </c>
      <c r="I119" s="18" t="s">
        <v>8</v>
      </c>
      <c r="J119" s="18">
        <v>80</v>
      </c>
      <c r="K119" s="18">
        <v>25.4</v>
      </c>
      <c r="L119" s="18">
        <v>5.3351094517973552</v>
      </c>
      <c r="M119" s="18">
        <v>0.2293</v>
      </c>
      <c r="N119" s="22">
        <v>-2.8</v>
      </c>
      <c r="O119" s="22">
        <v>-7.5</v>
      </c>
      <c r="P119" s="74">
        <v>-2.42</v>
      </c>
      <c r="Q119" s="74">
        <v>-4.63</v>
      </c>
      <c r="R119" s="91">
        <v>0.44</v>
      </c>
    </row>
    <row r="120" spans="2:18">
      <c r="B120" s="90">
        <v>46063.538888888892</v>
      </c>
      <c r="C120" s="18">
        <v>5</v>
      </c>
      <c r="D120" s="21">
        <v>-2.2000000000000002</v>
      </c>
      <c r="E120" s="21">
        <v>-2.7</v>
      </c>
      <c r="F120" s="18">
        <f t="shared" si="3"/>
        <v>14.900000000000002</v>
      </c>
      <c r="G120" s="18">
        <v>22.4</v>
      </c>
      <c r="H120" s="18">
        <v>2.8368839583333334</v>
      </c>
      <c r="I120" s="18" t="s">
        <v>8</v>
      </c>
      <c r="J120" s="18">
        <v>80</v>
      </c>
      <c r="K120" s="18">
        <v>25.4</v>
      </c>
      <c r="L120" s="18">
        <v>4.2030931992580207</v>
      </c>
      <c r="M120" s="18">
        <v>6.7744299999999993E-2</v>
      </c>
      <c r="N120" s="22">
        <v>-2.8</v>
      </c>
      <c r="O120" s="22">
        <v>-7.5</v>
      </c>
      <c r="P120" s="74">
        <v>-2.42</v>
      </c>
      <c r="Q120" s="74">
        <v>-4.63</v>
      </c>
      <c r="R120" s="91">
        <v>0.66</v>
      </c>
    </row>
    <row r="121" spans="2:18">
      <c r="B121" s="90">
        <v>46063.563194444447</v>
      </c>
      <c r="C121" s="18">
        <v>6</v>
      </c>
      <c r="D121" s="21">
        <v>-2.1</v>
      </c>
      <c r="E121" s="21">
        <v>-2.7</v>
      </c>
      <c r="F121" s="18">
        <f t="shared" si="3"/>
        <v>14.100000000000001</v>
      </c>
      <c r="G121" s="18">
        <v>22.3</v>
      </c>
      <c r="H121" s="18">
        <v>3.191751478494623</v>
      </c>
      <c r="I121" s="18" t="s">
        <v>8</v>
      </c>
      <c r="J121" s="18">
        <v>80</v>
      </c>
      <c r="K121" s="18">
        <v>25.4</v>
      </c>
      <c r="L121" s="18">
        <v>2.021642864177855</v>
      </c>
      <c r="M121" s="18">
        <v>2.33487E-2</v>
      </c>
      <c r="N121" s="22">
        <v>-2.8</v>
      </c>
      <c r="O121" s="22">
        <v>-7.5</v>
      </c>
      <c r="P121" s="74">
        <v>-2.42</v>
      </c>
      <c r="Q121" s="74">
        <v>-4.63</v>
      </c>
      <c r="R121" s="91">
        <v>0.56999999999999995</v>
      </c>
    </row>
    <row r="122" spans="2:18">
      <c r="B122" s="90">
        <v>46063.581944444442</v>
      </c>
      <c r="C122" s="18">
        <v>7</v>
      </c>
      <c r="D122" s="21">
        <v>-2.1</v>
      </c>
      <c r="E122" s="21">
        <v>-3</v>
      </c>
      <c r="F122" s="18">
        <f t="shared" si="3"/>
        <v>13.8</v>
      </c>
      <c r="G122" s="18">
        <v>22.7</v>
      </c>
      <c r="H122" s="18">
        <v>2.9680084677419356</v>
      </c>
      <c r="I122" s="18" t="s">
        <v>8</v>
      </c>
      <c r="J122" s="18">
        <v>5</v>
      </c>
      <c r="K122" s="18">
        <v>25.4</v>
      </c>
      <c r="L122" s="18">
        <v>1.6028538685766356</v>
      </c>
      <c r="M122" s="18">
        <v>2.23054E-2</v>
      </c>
      <c r="N122" s="22">
        <v>-2.8</v>
      </c>
      <c r="O122" s="22">
        <v>-7.5</v>
      </c>
      <c r="P122" s="74">
        <v>-2.42</v>
      </c>
      <c r="Q122" s="74">
        <v>-4.63</v>
      </c>
      <c r="R122" s="91">
        <v>0.6</v>
      </c>
    </row>
    <row r="123" spans="2:18">
      <c r="B123" s="92">
        <v>46065</v>
      </c>
      <c r="C123" s="18">
        <v>1</v>
      </c>
      <c r="D123" s="22">
        <v>-2.8</v>
      </c>
      <c r="E123" s="22">
        <v>-7.5</v>
      </c>
      <c r="F123" s="18">
        <f t="shared" si="3"/>
        <v>14.899999999999999</v>
      </c>
      <c r="G123" s="18">
        <v>23.5</v>
      </c>
      <c r="H123" s="18">
        <f>0.02832*33.6</f>
        <v>0.95155200000000006</v>
      </c>
      <c r="I123" s="18" t="s">
        <v>9</v>
      </c>
      <c r="J123" s="18">
        <v>460</v>
      </c>
      <c r="K123" s="18">
        <v>58.673999999999999</v>
      </c>
      <c r="L123" s="18"/>
      <c r="M123" s="18"/>
      <c r="N123" s="22">
        <v>-2.8</v>
      </c>
      <c r="O123" s="22">
        <v>-7.5</v>
      </c>
      <c r="P123" s="74">
        <v>-2.42</v>
      </c>
      <c r="Q123" s="74">
        <v>-4.63</v>
      </c>
      <c r="R123" s="89"/>
    </row>
    <row r="124" spans="2:18">
      <c r="B124" s="92">
        <v>46080</v>
      </c>
      <c r="C124" s="18">
        <v>1</v>
      </c>
      <c r="D124" s="22">
        <v>-2.7</v>
      </c>
      <c r="E124" s="22">
        <v>-7.6</v>
      </c>
      <c r="F124" s="18">
        <f t="shared" si="3"/>
        <v>14.000000000000002</v>
      </c>
      <c r="G124" s="18">
        <v>22.6</v>
      </c>
      <c r="H124" s="18">
        <f>0.02832*8.24</f>
        <v>0.23335680000000003</v>
      </c>
      <c r="I124" s="18" t="s">
        <v>9</v>
      </c>
      <c r="J124" s="18">
        <v>460</v>
      </c>
      <c r="K124" s="18">
        <v>474.726</v>
      </c>
      <c r="L124" s="18"/>
      <c r="M124" s="18"/>
      <c r="N124" s="22">
        <v>-2.7</v>
      </c>
      <c r="O124" s="22">
        <v>-7.6</v>
      </c>
      <c r="P124" s="74">
        <v>-2.42</v>
      </c>
      <c r="Q124" s="74">
        <v>-4.63</v>
      </c>
      <c r="R124" s="89"/>
    </row>
    <row r="125" spans="2:18">
      <c r="B125" s="92">
        <v>46093</v>
      </c>
      <c r="C125" s="18">
        <v>1</v>
      </c>
      <c r="D125" s="23">
        <v>-3.8</v>
      </c>
      <c r="E125" s="23">
        <v>-17.5</v>
      </c>
      <c r="F125" s="18">
        <f t="shared" si="3"/>
        <v>12.899999999999999</v>
      </c>
      <c r="G125" s="18">
        <v>21.77</v>
      </c>
      <c r="H125" s="18">
        <f>0.02832*62.2</f>
        <v>1.7615040000000002</v>
      </c>
      <c r="I125" s="18" t="s">
        <v>9</v>
      </c>
      <c r="J125" s="18">
        <v>460</v>
      </c>
      <c r="K125" s="18">
        <v>101.854</v>
      </c>
      <c r="L125" s="18"/>
      <c r="M125" s="18"/>
      <c r="N125" s="23">
        <v>-3.8</v>
      </c>
      <c r="O125" s="23">
        <v>-17.5</v>
      </c>
      <c r="P125" s="74">
        <v>-2.42</v>
      </c>
      <c r="Q125" s="74">
        <v>-4.63</v>
      </c>
      <c r="R125" s="89"/>
    </row>
    <row r="126" spans="2:18">
      <c r="B126" s="92">
        <v>46097</v>
      </c>
      <c r="C126" s="18">
        <v>1</v>
      </c>
      <c r="D126" s="23">
        <v>-6.4</v>
      </c>
      <c r="E126" s="23">
        <v>-41.6</v>
      </c>
      <c r="F126" s="18">
        <f t="shared" si="3"/>
        <v>9.6000000000000014</v>
      </c>
      <c r="G126" s="18">
        <v>21</v>
      </c>
      <c r="H126" s="18">
        <f>0.02832*26.1</f>
        <v>0.73915200000000003</v>
      </c>
      <c r="I126" s="18" t="s">
        <v>9</v>
      </c>
      <c r="J126" s="18">
        <v>460</v>
      </c>
      <c r="K126" s="18">
        <v>276.09800000000001</v>
      </c>
      <c r="L126" s="18"/>
      <c r="M126" s="18"/>
      <c r="N126" s="23">
        <v>-6.4</v>
      </c>
      <c r="O126" s="23">
        <v>-41.6</v>
      </c>
      <c r="P126" s="74">
        <v>-2.42</v>
      </c>
      <c r="Q126" s="74">
        <v>-4.63</v>
      </c>
      <c r="R126" s="89"/>
    </row>
    <row r="127" spans="2:18">
      <c r="B127" s="90">
        <v>46105.353472222225</v>
      </c>
      <c r="C127" s="18">
        <v>2</v>
      </c>
      <c r="D127" s="23">
        <v>-2.9</v>
      </c>
      <c r="E127" s="23">
        <v>-9.6</v>
      </c>
      <c r="F127" s="18">
        <f t="shared" si="3"/>
        <v>13.6</v>
      </c>
      <c r="G127" s="18">
        <v>20.5</v>
      </c>
      <c r="H127" s="18">
        <v>0.58566459516129032</v>
      </c>
      <c r="I127" s="18" t="s">
        <v>8</v>
      </c>
      <c r="J127" s="18">
        <v>270</v>
      </c>
      <c r="K127" s="18">
        <v>13.715999999999999</v>
      </c>
      <c r="L127" s="18">
        <v>9.1934488253373292</v>
      </c>
      <c r="M127" s="18">
        <v>2.79311E-2</v>
      </c>
      <c r="N127" s="23">
        <v>-6.4</v>
      </c>
      <c r="O127" s="23">
        <v>-41.6</v>
      </c>
      <c r="P127" s="74">
        <v>-2.42</v>
      </c>
      <c r="Q127" s="74">
        <v>-4.63</v>
      </c>
      <c r="R127" s="89"/>
    </row>
    <row r="128" spans="2:18">
      <c r="B128" s="90">
        <v>46105.36041666667</v>
      </c>
      <c r="C128" s="18">
        <v>4</v>
      </c>
      <c r="D128" s="23">
        <v>-2.9</v>
      </c>
      <c r="E128" s="23">
        <v>-9.9</v>
      </c>
      <c r="F128" s="18">
        <f t="shared" si="3"/>
        <v>13.299999999999999</v>
      </c>
      <c r="G128" s="18">
        <v>21.3</v>
      </c>
      <c r="H128" s="18">
        <v>2.8714314274193549</v>
      </c>
      <c r="I128" s="18" t="s">
        <v>8</v>
      </c>
      <c r="J128" s="18">
        <v>80</v>
      </c>
      <c r="K128" s="18">
        <v>13.715999999999999</v>
      </c>
      <c r="L128" s="18">
        <v>0.50264816147746649</v>
      </c>
      <c r="M128" s="18">
        <v>3.42866E-2</v>
      </c>
      <c r="N128" s="23">
        <v>-6.4</v>
      </c>
      <c r="O128" s="23">
        <v>-41.6</v>
      </c>
      <c r="P128" s="74">
        <v>-2.42</v>
      </c>
      <c r="Q128" s="74">
        <v>-4.63</v>
      </c>
      <c r="R128" s="89"/>
    </row>
    <row r="129" spans="2:18">
      <c r="B129" s="90">
        <v>46105.366666666669</v>
      </c>
      <c r="C129" s="18">
        <v>5</v>
      </c>
      <c r="D129" s="23">
        <v>-2.9</v>
      </c>
      <c r="E129" s="23">
        <v>-10.3</v>
      </c>
      <c r="F129" s="18">
        <f t="shared" si="3"/>
        <v>12.899999999999999</v>
      </c>
      <c r="G129" s="18">
        <v>21.3</v>
      </c>
      <c r="H129" s="18">
        <v>3.7634258749999998</v>
      </c>
      <c r="I129" s="18" t="s">
        <v>8</v>
      </c>
      <c r="J129" s="18">
        <v>80</v>
      </c>
      <c r="K129" s="18">
        <v>13.715999999999999</v>
      </c>
      <c r="L129" s="18">
        <v>12.032602440036168</v>
      </c>
      <c r="M129" s="18">
        <v>1.8465700000000002E-2</v>
      </c>
      <c r="N129" s="23">
        <v>-6.4</v>
      </c>
      <c r="O129" s="23">
        <v>-41.6</v>
      </c>
      <c r="P129" s="74">
        <v>-2.42</v>
      </c>
      <c r="Q129" s="74">
        <v>-4.63</v>
      </c>
      <c r="R129" s="89"/>
    </row>
    <row r="130" spans="2:18">
      <c r="B130" s="90">
        <v>46105.378472222219</v>
      </c>
      <c r="C130" s="18">
        <v>7</v>
      </c>
      <c r="D130" s="23">
        <v>-3.2</v>
      </c>
      <c r="E130" s="23">
        <v>-12.1</v>
      </c>
      <c r="F130" s="18">
        <f t="shared" si="3"/>
        <v>13.500000000000002</v>
      </c>
      <c r="G130" s="18">
        <v>21.5</v>
      </c>
      <c r="H130" s="18">
        <v>3.9373763709677423</v>
      </c>
      <c r="I130" s="18" t="s">
        <v>8</v>
      </c>
      <c r="J130" s="18">
        <v>5</v>
      </c>
      <c r="K130" s="18">
        <v>13.715999999999999</v>
      </c>
      <c r="L130" s="18">
        <v>0.34785200278029726</v>
      </c>
      <c r="M130" s="18">
        <v>1.27665E-2</v>
      </c>
      <c r="N130" s="23">
        <v>-6.4</v>
      </c>
      <c r="O130" s="23">
        <v>-41.6</v>
      </c>
      <c r="P130" s="74">
        <v>-2.42</v>
      </c>
      <c r="Q130" s="74">
        <v>-4.63</v>
      </c>
      <c r="R130" s="89"/>
    </row>
    <row r="131" spans="2:18">
      <c r="B131" s="92">
        <v>46112</v>
      </c>
      <c r="C131" s="18">
        <v>1</v>
      </c>
      <c r="D131" s="23">
        <v>-4.7</v>
      </c>
      <c r="E131" s="23">
        <v>-26.4</v>
      </c>
      <c r="F131" s="18">
        <f t="shared" ref="F131:F137" si="4">E131 - (8*D131)</f>
        <v>11.200000000000003</v>
      </c>
      <c r="G131" s="18">
        <v>21</v>
      </c>
      <c r="H131" s="18">
        <f>0.02832*11.2</f>
        <v>0.31718400000000002</v>
      </c>
      <c r="I131" s="18" t="s">
        <v>9</v>
      </c>
      <c r="J131" s="18">
        <v>460</v>
      </c>
      <c r="K131" s="18">
        <v>869.44</v>
      </c>
      <c r="L131" s="18"/>
      <c r="M131" s="18"/>
      <c r="N131" s="23">
        <v>-4.7</v>
      </c>
      <c r="O131" s="23">
        <v>-26.4</v>
      </c>
      <c r="P131" s="74">
        <v>-2.42</v>
      </c>
      <c r="Q131" s="74">
        <v>-4.63</v>
      </c>
      <c r="R131" s="89"/>
    </row>
    <row r="132" spans="2:18">
      <c r="B132" s="90">
        <v>46122.414583333331</v>
      </c>
      <c r="C132" s="18">
        <v>2</v>
      </c>
      <c r="D132" s="23">
        <v>-3.4</v>
      </c>
      <c r="E132" s="23">
        <v>-15.4</v>
      </c>
      <c r="F132" s="18">
        <f t="shared" si="4"/>
        <v>11.799999999999999</v>
      </c>
      <c r="G132" s="18">
        <v>21.5</v>
      </c>
      <c r="H132" s="18">
        <v>5.7216919354838705E-2</v>
      </c>
      <c r="I132" s="18" t="s">
        <v>8</v>
      </c>
      <c r="J132" s="18">
        <v>270</v>
      </c>
      <c r="K132" s="18">
        <v>12.446</v>
      </c>
      <c r="L132" s="18">
        <v>13.976461183672953</v>
      </c>
      <c r="M132" s="18">
        <v>0.10782600000000001</v>
      </c>
      <c r="N132" s="23">
        <v>-6</v>
      </c>
      <c r="O132" s="23">
        <v>-40.9</v>
      </c>
      <c r="P132" s="74">
        <v>-2.42</v>
      </c>
      <c r="Q132" s="74">
        <v>-4.63</v>
      </c>
      <c r="R132" s="89"/>
    </row>
    <row r="133" spans="2:18">
      <c r="B133" s="90">
        <v>46122.421527777777</v>
      </c>
      <c r="C133" s="18">
        <v>4</v>
      </c>
      <c r="D133" s="23">
        <v>-5.8</v>
      </c>
      <c r="E133" s="23">
        <v>-37.200000000000003</v>
      </c>
      <c r="F133" s="18">
        <f t="shared" si="4"/>
        <v>9.1999999999999957</v>
      </c>
      <c r="G133" s="18">
        <v>21.8</v>
      </c>
      <c r="H133" s="18">
        <v>1.3225265080645161</v>
      </c>
      <c r="I133" s="18" t="s">
        <v>8</v>
      </c>
      <c r="J133" s="18">
        <v>80</v>
      </c>
      <c r="K133" s="18">
        <v>12.446</v>
      </c>
      <c r="L133" s="18">
        <v>0.86691733967650297</v>
      </c>
      <c r="M133" s="18">
        <v>0.197851</v>
      </c>
      <c r="N133" s="23">
        <v>-6</v>
      </c>
      <c r="O133" s="23">
        <v>-40.9</v>
      </c>
      <c r="P133" s="74">
        <v>-2.42</v>
      </c>
      <c r="Q133" s="74">
        <v>-4.63</v>
      </c>
      <c r="R133" s="89"/>
    </row>
    <row r="134" spans="2:18">
      <c r="B134" s="90">
        <v>46122.427777777775</v>
      </c>
      <c r="C134" s="18">
        <v>5</v>
      </c>
      <c r="D134" s="23">
        <v>-5.9</v>
      </c>
      <c r="E134" s="23">
        <v>-39.1</v>
      </c>
      <c r="F134" s="18">
        <f t="shared" si="4"/>
        <v>8.1000000000000014</v>
      </c>
      <c r="G134" s="18">
        <v>22.4</v>
      </c>
      <c r="H134" s="18">
        <v>1.733362125</v>
      </c>
      <c r="I134" s="18" t="s">
        <v>8</v>
      </c>
      <c r="J134" s="18">
        <v>80</v>
      </c>
      <c r="K134" s="18">
        <v>12.446</v>
      </c>
      <c r="L134" s="18">
        <v>7.8012863044820788</v>
      </c>
      <c r="M134" s="18">
        <v>6.1411E-2</v>
      </c>
      <c r="N134" s="23">
        <v>-6</v>
      </c>
      <c r="O134" s="23">
        <v>-40.9</v>
      </c>
      <c r="P134" s="74">
        <v>-2.42</v>
      </c>
      <c r="Q134" s="74">
        <v>-4.63</v>
      </c>
      <c r="R134" s="89"/>
    </row>
    <row r="135" spans="2:18">
      <c r="B135" s="90">
        <v>46122.438888888886</v>
      </c>
      <c r="C135" s="18">
        <v>7</v>
      </c>
      <c r="D135" s="23">
        <v>-5</v>
      </c>
      <c r="E135" s="23">
        <v>-30</v>
      </c>
      <c r="F135" s="18">
        <f t="shared" si="4"/>
        <v>10</v>
      </c>
      <c r="G135" s="18">
        <v>22.9</v>
      </c>
      <c r="H135" s="18">
        <v>1.8134804032258065</v>
      </c>
      <c r="I135" s="18" t="s">
        <v>8</v>
      </c>
      <c r="J135" s="18">
        <v>5</v>
      </c>
      <c r="K135" s="18">
        <v>12.446</v>
      </c>
      <c r="L135" s="18">
        <v>0.43225440281786326</v>
      </c>
      <c r="M135" s="18">
        <v>1.8350999999999999E-2</v>
      </c>
      <c r="N135" s="23">
        <v>-6</v>
      </c>
      <c r="O135" s="23">
        <v>-40.9</v>
      </c>
      <c r="P135" s="74">
        <v>-2.42</v>
      </c>
      <c r="Q135" s="74">
        <v>-4.63</v>
      </c>
      <c r="R135" s="89"/>
    </row>
    <row r="136" spans="2:18">
      <c r="B136" s="92">
        <v>46125</v>
      </c>
      <c r="C136" s="18">
        <v>1</v>
      </c>
      <c r="D136" s="23">
        <v>-6</v>
      </c>
      <c r="E136" s="23">
        <v>-40.9</v>
      </c>
      <c r="F136" s="18">
        <f t="shared" si="4"/>
        <v>7.1000000000000014</v>
      </c>
      <c r="G136" s="18">
        <v>24</v>
      </c>
      <c r="H136" s="18">
        <f>0.02832*14.4</f>
        <v>0.407808</v>
      </c>
      <c r="I136" s="18" t="s">
        <v>9</v>
      </c>
      <c r="J136" s="18">
        <v>460</v>
      </c>
      <c r="K136" s="18">
        <f>0.25+0.25+0.25+0.25+0.25+0.25+0.25+0.25+0.51+1.27+0.76+1.02+0.51+1.02+0.51+0.51+0.25+0.51+1.02+0.25+0.51+1.52+1.27+0.76+0.51+0.76+0.25+0.25+0.25+0.25+0.25+1.02+0.76+0.25+0.25+0.25+0.25+0.25+0.51+0.25+0.25+0.25+0.25+0.51+0.25+0.25+0.25+1.02+0.25</f>
        <v>23.790000000000003</v>
      </c>
      <c r="L136" s="18"/>
      <c r="M136" s="18"/>
      <c r="N136" s="23">
        <v>-6</v>
      </c>
      <c r="O136" s="23">
        <v>-40.9</v>
      </c>
      <c r="P136" s="74">
        <v>-2.42</v>
      </c>
      <c r="Q136" s="74">
        <v>-4.63</v>
      </c>
      <c r="R136" s="89"/>
    </row>
    <row r="137" spans="2:18" ht="17" thickBot="1">
      <c r="B137" s="93">
        <v>46142</v>
      </c>
      <c r="C137" s="94">
        <v>1</v>
      </c>
      <c r="D137" s="95">
        <v>-3.6</v>
      </c>
      <c r="E137" s="95">
        <v>-19.2</v>
      </c>
      <c r="F137" s="94">
        <f t="shared" si="4"/>
        <v>9.6000000000000014</v>
      </c>
      <c r="G137" s="94">
        <v>23.5</v>
      </c>
      <c r="H137" s="94">
        <f>0.02832*5.69</f>
        <v>0.16114080000000003</v>
      </c>
      <c r="I137" s="94" t="s">
        <v>9</v>
      </c>
      <c r="J137" s="94">
        <v>460</v>
      </c>
      <c r="K137" s="94">
        <v>193.04</v>
      </c>
      <c r="L137" s="94"/>
      <c r="M137" s="94"/>
      <c r="N137" s="95">
        <v>-3.6</v>
      </c>
      <c r="O137" s="95">
        <v>-19.2</v>
      </c>
      <c r="P137" s="96">
        <v>-2.42</v>
      </c>
      <c r="Q137" s="96">
        <v>-4.63</v>
      </c>
      <c r="R137" s="97"/>
    </row>
    <row r="138" spans="2:18">
      <c r="B138" s="80"/>
      <c r="C138" s="78"/>
      <c r="D138" s="81"/>
      <c r="E138" s="81"/>
      <c r="F138" s="78"/>
      <c r="G138" s="82"/>
      <c r="H138" s="82"/>
      <c r="I138" s="78"/>
    </row>
    <row r="139" spans="2:18">
      <c r="B139" s="80"/>
      <c r="C139" s="78"/>
      <c r="D139" s="81"/>
      <c r="E139" s="81"/>
      <c r="F139" s="78"/>
      <c r="G139" s="82"/>
      <c r="H139" s="82"/>
      <c r="I139" s="78"/>
    </row>
    <row r="140" spans="2:18">
      <c r="B140" s="80"/>
      <c r="C140" s="78"/>
      <c r="D140" s="81"/>
      <c r="E140" s="81"/>
      <c r="F140" s="78"/>
      <c r="G140" s="82"/>
      <c r="H140" s="82"/>
      <c r="I140" s="78"/>
    </row>
    <row r="141" spans="2:18">
      <c r="B141" s="80"/>
      <c r="C141" s="78"/>
      <c r="D141" s="81"/>
      <c r="E141" s="81"/>
      <c r="F141" s="78"/>
      <c r="G141" s="82"/>
      <c r="H141" s="82"/>
      <c r="I141" s="78"/>
    </row>
    <row r="142" spans="2:18">
      <c r="B142" s="80"/>
      <c r="C142" s="78"/>
      <c r="D142" s="81"/>
      <c r="E142" s="81"/>
      <c r="F142" s="78"/>
      <c r="G142" s="82"/>
      <c r="H142" s="82"/>
      <c r="I142" s="78"/>
    </row>
    <row r="143" spans="2:18">
      <c r="B143" s="80"/>
      <c r="C143" s="78"/>
      <c r="D143" s="81"/>
      <c r="E143" s="81"/>
      <c r="F143" s="78"/>
      <c r="G143" s="82"/>
      <c r="H143" s="82"/>
      <c r="I143" s="78"/>
    </row>
    <row r="144" spans="2:18">
      <c r="B144" s="80"/>
      <c r="C144" s="78"/>
      <c r="D144" s="81"/>
      <c r="E144" s="81"/>
      <c r="F144" s="78"/>
      <c r="G144" s="82"/>
      <c r="H144" s="82"/>
      <c r="I144" s="78"/>
    </row>
    <row r="145" spans="2:9">
      <c r="B145" s="80"/>
      <c r="C145" s="78"/>
      <c r="D145" s="81"/>
      <c r="E145" s="81"/>
      <c r="F145" s="78"/>
      <c r="G145" s="82"/>
      <c r="H145" s="82"/>
      <c r="I145" s="78"/>
    </row>
    <row r="146" spans="2:9">
      <c r="B146" s="80"/>
      <c r="C146" s="78"/>
      <c r="D146" s="81"/>
      <c r="E146" s="81"/>
      <c r="F146" s="78"/>
      <c r="G146" s="82"/>
      <c r="H146" s="82"/>
      <c r="I146" s="78"/>
    </row>
    <row r="147" spans="2:9">
      <c r="B147" s="80"/>
      <c r="C147" s="78"/>
      <c r="D147" s="81"/>
      <c r="E147" s="81"/>
      <c r="F147" s="78"/>
      <c r="G147" s="82"/>
      <c r="H147" s="82"/>
      <c r="I147" s="78"/>
    </row>
    <row r="148" spans="2:9">
      <c r="B148" s="80"/>
      <c r="C148" s="78"/>
      <c r="D148" s="82"/>
      <c r="E148" s="82"/>
      <c r="F148" s="78"/>
      <c r="G148" s="82"/>
      <c r="H148" s="82"/>
      <c r="I148" s="78"/>
    </row>
  </sheetData>
  <autoFilter ref="B2:N137" xr:uid="{E174FB01-AC8B-4229-B319-63F7FF07E34C}"/>
  <sortState xmlns:xlrd2="http://schemas.microsoft.com/office/spreadsheetml/2017/richdata2" ref="B3:N148">
    <sortCondition ref="B1:B148"/>
  </sortState>
  <mergeCells count="1">
    <mergeCell ref="W2:X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A256-30D5-CE4A-B419-F4D79195044A}">
  <dimension ref="B1:R20"/>
  <sheetViews>
    <sheetView tabSelected="1" workbookViewId="0">
      <selection activeCell="M2" sqref="M2"/>
    </sheetView>
  </sheetViews>
  <sheetFormatPr baseColWidth="10" defaultRowHeight="15"/>
  <cols>
    <col min="2" max="2" width="13.33203125" bestFit="1" customWidth="1"/>
    <col min="3" max="3" width="6.5" bestFit="1" customWidth="1"/>
    <col min="4" max="4" width="5.5" bestFit="1" customWidth="1"/>
    <col min="5" max="5" width="5" bestFit="1" customWidth="1"/>
    <col min="6" max="6" width="12.33203125" bestFit="1" customWidth="1"/>
    <col min="7" max="7" width="12" bestFit="1" customWidth="1"/>
    <col min="8" max="8" width="15.6640625" bestFit="1" customWidth="1"/>
    <col min="9" max="9" width="13.1640625" bestFit="1" customWidth="1"/>
    <col min="10" max="10" width="11.6640625" bestFit="1" customWidth="1"/>
    <col min="11" max="11" width="17" bestFit="1" customWidth="1"/>
    <col min="12" max="12" width="12.1640625" bestFit="1" customWidth="1"/>
    <col min="13" max="13" width="22.6640625" bestFit="1" customWidth="1"/>
    <col min="14" max="14" width="9.6640625" bestFit="1" customWidth="1"/>
    <col min="15" max="15" width="8.5" bestFit="1" customWidth="1"/>
    <col min="16" max="16" width="16.83203125" bestFit="1" customWidth="1"/>
    <col min="17" max="17" width="15.6640625" bestFit="1" customWidth="1"/>
    <col min="18" max="18" width="5.1640625" bestFit="1" customWidth="1"/>
  </cols>
  <sheetData>
    <row r="1" spans="2:18" ht="16" thickBot="1"/>
    <row r="2" spans="2:18" ht="16">
      <c r="B2" s="85" t="s">
        <v>0</v>
      </c>
      <c r="C2" s="86" t="s">
        <v>1</v>
      </c>
      <c r="D2" s="86" t="s">
        <v>2</v>
      </c>
      <c r="E2" s="86" t="s">
        <v>3</v>
      </c>
      <c r="F2" s="86" t="s">
        <v>4</v>
      </c>
      <c r="G2" s="86" t="s">
        <v>5</v>
      </c>
      <c r="H2" s="86" t="s">
        <v>6</v>
      </c>
      <c r="I2" s="86" t="s">
        <v>7</v>
      </c>
      <c r="J2" s="86" t="s">
        <v>10</v>
      </c>
      <c r="K2" s="86" t="s">
        <v>11</v>
      </c>
      <c r="L2" s="86" t="s">
        <v>163</v>
      </c>
      <c r="M2" s="86" t="s">
        <v>164</v>
      </c>
      <c r="N2" s="86" t="s">
        <v>165</v>
      </c>
      <c r="O2" s="86" t="s">
        <v>304</v>
      </c>
      <c r="P2" s="86" t="s">
        <v>303</v>
      </c>
      <c r="Q2" s="86" t="s">
        <v>305</v>
      </c>
      <c r="R2" s="87" t="s">
        <v>310</v>
      </c>
    </row>
    <row r="3" spans="2:18" ht="16">
      <c r="B3" s="90">
        <v>46001.361111111109</v>
      </c>
      <c r="C3" s="18">
        <v>5</v>
      </c>
      <c r="D3" s="21">
        <v>-2.2999999999999998</v>
      </c>
      <c r="E3" s="21">
        <v>-3.8</v>
      </c>
      <c r="F3" s="18">
        <f t="shared" ref="F3:F20" si="0">E3 - (8*D3)</f>
        <v>14.599999999999998</v>
      </c>
      <c r="G3" s="18">
        <v>21.6</v>
      </c>
      <c r="H3" s="18">
        <v>9.6818425000000014E-2</v>
      </c>
      <c r="I3" s="18" t="s">
        <v>8</v>
      </c>
      <c r="J3" s="18">
        <v>80</v>
      </c>
      <c r="K3" s="18">
        <v>0</v>
      </c>
      <c r="L3" s="18">
        <v>13.077484395006453</v>
      </c>
      <c r="M3" s="18">
        <v>1.11231E-2</v>
      </c>
      <c r="N3" s="22"/>
      <c r="O3" s="22"/>
      <c r="P3" s="74">
        <v>-2.42</v>
      </c>
      <c r="Q3" s="74">
        <v>-4.63</v>
      </c>
      <c r="R3" s="91">
        <v>0.49</v>
      </c>
    </row>
    <row r="4" spans="2:18" ht="16">
      <c r="B4" s="90">
        <v>46001.409722222219</v>
      </c>
      <c r="C4" s="18">
        <v>4</v>
      </c>
      <c r="D4" s="21">
        <v>-2.4</v>
      </c>
      <c r="E4" s="21">
        <v>-4.0999999999999996</v>
      </c>
      <c r="F4" s="18">
        <f t="shared" si="0"/>
        <v>15.1</v>
      </c>
      <c r="G4" s="18">
        <v>21.4</v>
      </c>
      <c r="H4" s="18">
        <v>7.3870850000000002E-2</v>
      </c>
      <c r="I4" s="18" t="s">
        <v>8</v>
      </c>
      <c r="J4" s="18">
        <v>80</v>
      </c>
      <c r="K4" s="18">
        <v>0</v>
      </c>
      <c r="L4" s="18">
        <v>32.712148647331908</v>
      </c>
      <c r="M4" s="18">
        <v>9.0940699999999999E-2</v>
      </c>
      <c r="N4" s="22"/>
      <c r="O4" s="22"/>
      <c r="P4" s="74">
        <v>-2.42</v>
      </c>
      <c r="Q4" s="74">
        <v>-4.63</v>
      </c>
      <c r="R4" s="91">
        <v>0.52</v>
      </c>
    </row>
    <row r="5" spans="2:18" ht="16">
      <c r="B5" s="90">
        <v>46001.473611111112</v>
      </c>
      <c r="C5" s="18">
        <v>1</v>
      </c>
      <c r="D5" s="21">
        <v>-2.1</v>
      </c>
      <c r="E5" s="21">
        <v>-3.3</v>
      </c>
      <c r="F5" s="18">
        <f t="shared" si="0"/>
        <v>13.5</v>
      </c>
      <c r="G5" s="21">
        <v>22</v>
      </c>
      <c r="H5" s="18">
        <v>3.1959000000000002E-3</v>
      </c>
      <c r="I5" s="18" t="s">
        <v>8</v>
      </c>
      <c r="J5" s="18">
        <v>460</v>
      </c>
      <c r="K5" s="18">
        <v>0</v>
      </c>
      <c r="L5" s="18">
        <v>10.281100270273566</v>
      </c>
      <c r="M5" s="18">
        <v>0.30540699999999998</v>
      </c>
      <c r="N5" s="22"/>
      <c r="O5" s="22"/>
      <c r="P5" s="74">
        <v>-2.42</v>
      </c>
      <c r="Q5" s="74">
        <v>-4.63</v>
      </c>
      <c r="R5" s="91">
        <v>0.5</v>
      </c>
    </row>
    <row r="6" spans="2:18" ht="16">
      <c r="B6" s="90">
        <v>46001.510416666664</v>
      </c>
      <c r="C6" s="18">
        <v>2</v>
      </c>
      <c r="D6" s="21">
        <v>-2.1</v>
      </c>
      <c r="E6" s="21">
        <v>-2.7</v>
      </c>
      <c r="F6" s="18">
        <f t="shared" si="0"/>
        <v>14.100000000000001</v>
      </c>
      <c r="G6" s="18">
        <v>21.9</v>
      </c>
      <c r="H6" s="18">
        <v>1.5066890000000001E-2</v>
      </c>
      <c r="I6" s="18" t="s">
        <v>8</v>
      </c>
      <c r="J6" s="18">
        <v>270</v>
      </c>
      <c r="K6" s="18">
        <v>0</v>
      </c>
      <c r="L6" s="18">
        <v>7.0312998488008001</v>
      </c>
      <c r="M6" s="18">
        <v>0.16201399999999999</v>
      </c>
      <c r="N6" s="22"/>
      <c r="O6" s="22"/>
      <c r="P6" s="74">
        <v>-2.42</v>
      </c>
      <c r="Q6" s="74">
        <v>-4.63</v>
      </c>
      <c r="R6" s="91">
        <v>0.47</v>
      </c>
    </row>
    <row r="7" spans="2:18" ht="16">
      <c r="B7" s="90">
        <v>46001.536111111112</v>
      </c>
      <c r="C7" s="18">
        <v>3</v>
      </c>
      <c r="D7" s="21">
        <v>-2.4</v>
      </c>
      <c r="E7" s="21">
        <v>-4.0999999999999996</v>
      </c>
      <c r="F7" s="18">
        <f t="shared" si="0"/>
        <v>15.1</v>
      </c>
      <c r="G7" s="18">
        <v>24</v>
      </c>
      <c r="H7" s="18">
        <v>7.3870850000000002E-2</v>
      </c>
      <c r="I7" s="18" t="s">
        <v>8</v>
      </c>
      <c r="J7" s="18">
        <v>230</v>
      </c>
      <c r="K7" s="18">
        <v>0</v>
      </c>
      <c r="L7" s="18">
        <v>10.034530750663777</v>
      </c>
      <c r="M7" s="18">
        <v>6.0341499999999999E-2</v>
      </c>
      <c r="N7" s="22"/>
      <c r="O7" s="22"/>
      <c r="P7" s="74">
        <v>-2.42</v>
      </c>
      <c r="Q7" s="74">
        <v>-4.63</v>
      </c>
      <c r="R7" s="91">
        <v>0.53</v>
      </c>
    </row>
    <row r="8" spans="2:18" ht="16">
      <c r="B8" s="90">
        <v>46001.600694444445</v>
      </c>
      <c r="C8" s="18">
        <v>6</v>
      </c>
      <c r="D8" s="21">
        <v>-2.1</v>
      </c>
      <c r="E8" s="21">
        <v>-3.3</v>
      </c>
      <c r="F8" s="18">
        <f t="shared" si="0"/>
        <v>13.5</v>
      </c>
      <c r="G8" s="18">
        <v>24.7</v>
      </c>
      <c r="H8" s="18">
        <v>0.10129350000000001</v>
      </c>
      <c r="I8" s="18" t="s">
        <v>8</v>
      </c>
      <c r="J8" s="18">
        <v>80</v>
      </c>
      <c r="K8" s="18">
        <v>0</v>
      </c>
      <c r="L8" s="18">
        <v>8.0372760653336979</v>
      </c>
      <c r="M8" s="18">
        <v>2.1567300000000001E-2</v>
      </c>
      <c r="N8" s="22"/>
      <c r="O8" s="22"/>
      <c r="P8" s="74">
        <v>-2.42</v>
      </c>
      <c r="Q8" s="74">
        <v>-4.63</v>
      </c>
      <c r="R8" s="91">
        <v>0.4</v>
      </c>
    </row>
    <row r="9" spans="2:18" ht="16">
      <c r="B9" s="92">
        <v>46002</v>
      </c>
      <c r="C9" s="18">
        <v>1</v>
      </c>
      <c r="D9" s="22">
        <v>-1.4</v>
      </c>
      <c r="E9" s="22">
        <v>4</v>
      </c>
      <c r="F9" s="18">
        <f t="shared" si="0"/>
        <v>15.2</v>
      </c>
      <c r="G9" s="18">
        <v>20</v>
      </c>
      <c r="H9" s="18">
        <f>0.02832*1.76</f>
        <v>4.9843200000000004E-2</v>
      </c>
      <c r="I9" s="18" t="s">
        <v>9</v>
      </c>
      <c r="J9" s="18">
        <v>460</v>
      </c>
      <c r="K9" s="18">
        <v>11.683999999999999</v>
      </c>
      <c r="L9" s="18"/>
      <c r="M9" s="18"/>
      <c r="N9" s="22">
        <v>-1.4</v>
      </c>
      <c r="O9" s="22">
        <v>4</v>
      </c>
      <c r="P9" s="74">
        <v>-2.42</v>
      </c>
      <c r="Q9" s="74">
        <v>-4.63</v>
      </c>
      <c r="R9" s="89"/>
    </row>
    <row r="10" spans="2:18" ht="16">
      <c r="B10" s="92">
        <v>46002</v>
      </c>
      <c r="C10" s="18">
        <v>1</v>
      </c>
      <c r="D10" s="22">
        <v>-1.4</v>
      </c>
      <c r="E10" s="22">
        <v>4.2</v>
      </c>
      <c r="F10" s="18">
        <f t="shared" si="0"/>
        <v>15.399999999999999</v>
      </c>
      <c r="G10" s="18">
        <v>20</v>
      </c>
      <c r="H10" s="18">
        <f>0.02832*1.76</f>
        <v>4.9843200000000004E-2</v>
      </c>
      <c r="I10" s="18" t="s">
        <v>9</v>
      </c>
      <c r="J10" s="18">
        <v>460</v>
      </c>
      <c r="K10" s="18">
        <v>11.683999999999999</v>
      </c>
      <c r="L10" s="18"/>
      <c r="M10" s="18"/>
      <c r="N10" s="22">
        <v>-1.4</v>
      </c>
      <c r="O10" s="22">
        <v>4.2</v>
      </c>
      <c r="P10" s="74">
        <v>-2.42</v>
      </c>
      <c r="Q10" s="74">
        <v>-4.63</v>
      </c>
      <c r="R10" s="89"/>
    </row>
    <row r="11" spans="2:18" ht="16">
      <c r="B11" s="90">
        <v>46002.395833333336</v>
      </c>
      <c r="C11" s="18">
        <v>5</v>
      </c>
      <c r="D11" s="21">
        <v>-2.2999999999999998</v>
      </c>
      <c r="E11" s="21">
        <v>-3.6</v>
      </c>
      <c r="F11" s="18">
        <f t="shared" si="0"/>
        <v>14.799999999999999</v>
      </c>
      <c r="G11" s="18">
        <v>22.1</v>
      </c>
      <c r="H11" s="18">
        <v>0.10892949999999998</v>
      </c>
      <c r="I11" s="18" t="s">
        <v>8</v>
      </c>
      <c r="J11" s="18">
        <v>80</v>
      </c>
      <c r="K11" s="18">
        <v>0</v>
      </c>
      <c r="L11" s="18">
        <v>1.27165588456704</v>
      </c>
      <c r="M11" s="18">
        <v>3.27912E-2</v>
      </c>
      <c r="N11" s="22"/>
      <c r="O11" s="75"/>
      <c r="P11" s="74">
        <v>-2.42</v>
      </c>
      <c r="Q11" s="74">
        <v>-4.63</v>
      </c>
      <c r="R11" s="91">
        <v>0.49</v>
      </c>
    </row>
    <row r="12" spans="2:18" ht="16">
      <c r="B12" s="92">
        <v>46022</v>
      </c>
      <c r="C12" s="18">
        <v>1</v>
      </c>
      <c r="D12" s="22">
        <v>-2.2000000000000002</v>
      </c>
      <c r="E12" s="22">
        <v>-4.3</v>
      </c>
      <c r="F12" s="18">
        <f t="shared" si="0"/>
        <v>13.3</v>
      </c>
      <c r="G12" s="18">
        <v>22</v>
      </c>
      <c r="H12" s="18">
        <f>0.02832*6.01</f>
        <v>0.1702032</v>
      </c>
      <c r="I12" s="18" t="s">
        <v>9</v>
      </c>
      <c r="J12" s="18">
        <v>460</v>
      </c>
      <c r="K12" s="18">
        <v>363.47399999999999</v>
      </c>
      <c r="L12" s="18"/>
      <c r="M12" s="18"/>
      <c r="N12" s="22">
        <v>-2.2000000000000002</v>
      </c>
      <c r="O12" s="22">
        <v>-4.3</v>
      </c>
      <c r="P12" s="74">
        <v>-2.42</v>
      </c>
      <c r="Q12" s="74">
        <v>-4.63</v>
      </c>
      <c r="R12" s="89"/>
    </row>
    <row r="13" spans="2:18" ht="16">
      <c r="B13" s="92">
        <v>46052</v>
      </c>
      <c r="C13" s="18">
        <v>1</v>
      </c>
      <c r="D13" s="22">
        <v>-2.4</v>
      </c>
      <c r="E13" s="22">
        <v>-3.9</v>
      </c>
      <c r="F13" s="18">
        <f t="shared" si="0"/>
        <v>15.299999999999999</v>
      </c>
      <c r="G13" s="18">
        <v>21</v>
      </c>
      <c r="H13" s="18">
        <f>0.02832*6.64</f>
        <v>0.18804480000000001</v>
      </c>
      <c r="I13" s="18" t="s">
        <v>9</v>
      </c>
      <c r="J13" s="18">
        <v>460</v>
      </c>
      <c r="K13" s="18">
        <v>263.90600000000001</v>
      </c>
      <c r="L13" s="18"/>
      <c r="M13" s="18"/>
      <c r="N13" s="22">
        <v>-2.4</v>
      </c>
      <c r="O13" s="22">
        <v>-3.9</v>
      </c>
      <c r="P13" s="74">
        <v>-2.42</v>
      </c>
      <c r="Q13" s="74">
        <v>-4.63</v>
      </c>
      <c r="R13" s="89"/>
    </row>
    <row r="14" spans="2:18" ht="16">
      <c r="B14" s="92">
        <v>46056</v>
      </c>
      <c r="C14" s="18">
        <v>1</v>
      </c>
      <c r="D14" s="22">
        <v>-1.6</v>
      </c>
      <c r="E14" s="22">
        <v>0.3</v>
      </c>
      <c r="F14" s="18">
        <f t="shared" si="0"/>
        <v>13.100000000000001</v>
      </c>
      <c r="G14" s="18">
        <v>24</v>
      </c>
      <c r="H14" s="18">
        <f>0.02832*2.31</f>
        <v>6.5419200000000011E-2</v>
      </c>
      <c r="I14" s="18" t="s">
        <v>9</v>
      </c>
      <c r="J14" s="18">
        <v>460</v>
      </c>
      <c r="K14" s="18">
        <v>10.16</v>
      </c>
      <c r="L14" s="18"/>
      <c r="M14" s="18"/>
      <c r="N14" s="22">
        <v>-1.6</v>
      </c>
      <c r="O14" s="22">
        <v>0.3</v>
      </c>
      <c r="P14" s="74">
        <v>-2.42</v>
      </c>
      <c r="Q14" s="74">
        <v>-4.63</v>
      </c>
      <c r="R14" s="89"/>
    </row>
    <row r="15" spans="2:18" ht="16">
      <c r="B15" s="90">
        <v>46063.51458333333</v>
      </c>
      <c r="C15" s="18">
        <v>2</v>
      </c>
      <c r="D15" s="21">
        <v>-2.4</v>
      </c>
      <c r="E15" s="21">
        <v>-3.5</v>
      </c>
      <c r="F15" s="18">
        <f t="shared" si="0"/>
        <v>15.7</v>
      </c>
      <c r="G15" s="18">
        <v>20.7</v>
      </c>
      <c r="H15" s="18">
        <v>0.44147607795698929</v>
      </c>
      <c r="I15" s="18" t="s">
        <v>8</v>
      </c>
      <c r="J15" s="18">
        <v>270</v>
      </c>
      <c r="K15" s="18">
        <v>25.4</v>
      </c>
      <c r="L15" s="18">
        <v>2.6882586224509724</v>
      </c>
      <c r="M15" s="18">
        <v>0.172401</v>
      </c>
      <c r="N15" s="22">
        <v>-2.8</v>
      </c>
      <c r="O15" s="22">
        <v>-7.5</v>
      </c>
      <c r="P15" s="74">
        <v>-2.42</v>
      </c>
      <c r="Q15" s="74">
        <v>-4.63</v>
      </c>
      <c r="R15" s="91">
        <v>0.61</v>
      </c>
    </row>
    <row r="16" spans="2:18" ht="16">
      <c r="B16" s="90">
        <v>46063.522222222222</v>
      </c>
      <c r="C16" s="18">
        <v>3</v>
      </c>
      <c r="D16" s="21">
        <v>-2.4</v>
      </c>
      <c r="E16" s="21">
        <v>-3.6</v>
      </c>
      <c r="F16" s="18">
        <f t="shared" si="0"/>
        <v>15.6</v>
      </c>
      <c r="G16" s="18">
        <v>21</v>
      </c>
      <c r="H16" s="18">
        <v>2.1644953360215053</v>
      </c>
      <c r="I16" s="18" t="s">
        <v>8</v>
      </c>
      <c r="J16" s="18">
        <v>230</v>
      </c>
      <c r="K16" s="18">
        <v>25.4</v>
      </c>
      <c r="L16" s="18">
        <v>4.9054900269077422</v>
      </c>
      <c r="M16" s="18">
        <v>6.3673300000000002E-2</v>
      </c>
      <c r="N16" s="22">
        <v>-2.8</v>
      </c>
      <c r="O16" s="22">
        <v>-7.5</v>
      </c>
      <c r="P16" s="74">
        <v>-2.42</v>
      </c>
      <c r="Q16" s="74">
        <v>-4.63</v>
      </c>
      <c r="R16" s="91">
        <v>0.66</v>
      </c>
    </row>
    <row r="17" spans="2:18" ht="16">
      <c r="B17" s="90">
        <v>46063.530555555553</v>
      </c>
      <c r="C17" s="18">
        <v>4</v>
      </c>
      <c r="D17" s="21">
        <v>-2.2000000000000002</v>
      </c>
      <c r="E17" s="21">
        <v>-2.8</v>
      </c>
      <c r="F17" s="18">
        <f t="shared" si="0"/>
        <v>14.8</v>
      </c>
      <c r="G17" s="18">
        <v>22.1</v>
      </c>
      <c r="H17" s="18">
        <v>2.1644953360215053</v>
      </c>
      <c r="I17" s="18" t="s">
        <v>8</v>
      </c>
      <c r="J17" s="18">
        <v>80</v>
      </c>
      <c r="K17" s="18">
        <v>25.4</v>
      </c>
      <c r="L17" s="18">
        <v>5.3351094517973552</v>
      </c>
      <c r="M17" s="18">
        <v>0.2293</v>
      </c>
      <c r="N17" s="22">
        <v>-2.8</v>
      </c>
      <c r="O17" s="22">
        <v>-7.5</v>
      </c>
      <c r="P17" s="74">
        <v>-2.42</v>
      </c>
      <c r="Q17" s="74">
        <v>-4.63</v>
      </c>
      <c r="R17" s="91">
        <v>0.44</v>
      </c>
    </row>
    <row r="18" spans="2:18" ht="16">
      <c r="B18" s="90">
        <v>46063.538888888892</v>
      </c>
      <c r="C18" s="18">
        <v>5</v>
      </c>
      <c r="D18" s="21">
        <v>-2.2000000000000002</v>
      </c>
      <c r="E18" s="21">
        <v>-2.7</v>
      </c>
      <c r="F18" s="18">
        <f t="shared" si="0"/>
        <v>14.900000000000002</v>
      </c>
      <c r="G18" s="18">
        <v>22.4</v>
      </c>
      <c r="H18" s="18">
        <v>2.8368839583333334</v>
      </c>
      <c r="I18" s="18" t="s">
        <v>8</v>
      </c>
      <c r="J18" s="18">
        <v>80</v>
      </c>
      <c r="K18" s="18">
        <v>25.4</v>
      </c>
      <c r="L18" s="18">
        <v>4.2030931992580207</v>
      </c>
      <c r="M18" s="18">
        <v>6.7744299999999993E-2</v>
      </c>
      <c r="N18" s="22">
        <v>-2.8</v>
      </c>
      <c r="O18" s="22">
        <v>-7.5</v>
      </c>
      <c r="P18" s="74">
        <v>-2.42</v>
      </c>
      <c r="Q18" s="74">
        <v>-4.63</v>
      </c>
      <c r="R18" s="91">
        <v>0.66</v>
      </c>
    </row>
    <row r="19" spans="2:18" ht="16">
      <c r="B19" s="90">
        <v>46063.563194444447</v>
      </c>
      <c r="C19" s="18">
        <v>6</v>
      </c>
      <c r="D19" s="21">
        <v>-2.1</v>
      </c>
      <c r="E19" s="21">
        <v>-2.7</v>
      </c>
      <c r="F19" s="18">
        <f t="shared" si="0"/>
        <v>14.100000000000001</v>
      </c>
      <c r="G19" s="18">
        <v>22.3</v>
      </c>
      <c r="H19" s="18">
        <v>3.191751478494623</v>
      </c>
      <c r="I19" s="18" t="s">
        <v>8</v>
      </c>
      <c r="J19" s="18">
        <v>80</v>
      </c>
      <c r="K19" s="18">
        <v>25.4</v>
      </c>
      <c r="L19" s="18">
        <v>2.021642864177855</v>
      </c>
      <c r="M19" s="18">
        <v>2.33487E-2</v>
      </c>
      <c r="N19" s="22">
        <v>-2.8</v>
      </c>
      <c r="O19" s="22">
        <v>-7.5</v>
      </c>
      <c r="P19" s="74">
        <v>-2.42</v>
      </c>
      <c r="Q19" s="74">
        <v>-4.63</v>
      </c>
      <c r="R19" s="91">
        <v>0.56999999999999995</v>
      </c>
    </row>
    <row r="20" spans="2:18" ht="16">
      <c r="B20" s="90">
        <v>46063.581944444442</v>
      </c>
      <c r="C20" s="18">
        <v>7</v>
      </c>
      <c r="D20" s="21">
        <v>-2.1</v>
      </c>
      <c r="E20" s="21">
        <v>-3</v>
      </c>
      <c r="F20" s="18">
        <f t="shared" si="0"/>
        <v>13.8</v>
      </c>
      <c r="G20" s="18">
        <v>22.7</v>
      </c>
      <c r="H20" s="18">
        <v>2.9680084677419356</v>
      </c>
      <c r="I20" s="18" t="s">
        <v>8</v>
      </c>
      <c r="J20" s="18">
        <v>5</v>
      </c>
      <c r="K20" s="18">
        <v>25.4</v>
      </c>
      <c r="L20" s="18">
        <v>1.6028538685766356</v>
      </c>
      <c r="M20" s="18">
        <v>2.23054E-2</v>
      </c>
      <c r="N20" s="22">
        <v>-2.8</v>
      </c>
      <c r="O20" s="22">
        <v>-7.5</v>
      </c>
      <c r="P20" s="74">
        <v>-2.42</v>
      </c>
      <c r="Q20" s="74">
        <v>-4.63</v>
      </c>
      <c r="R20" s="9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347B-6589-43A9-892E-0097DC5F2940}">
  <sheetPr>
    <outlinePr summaryBelow="0" summaryRight="0"/>
  </sheetPr>
  <dimension ref="A1:AA1074"/>
  <sheetViews>
    <sheetView topLeftCell="A29" zoomScale="50" zoomScaleNormal="175" workbookViewId="0">
      <selection activeCell="I1" sqref="I1"/>
    </sheetView>
  </sheetViews>
  <sheetFormatPr baseColWidth="10" defaultColWidth="12.5" defaultRowHeight="15.75" customHeight="1"/>
  <cols>
    <col min="1" max="1" width="37.1640625" style="1" bestFit="1" customWidth="1"/>
    <col min="2" max="2" width="16.83203125" style="1" bestFit="1" customWidth="1"/>
    <col min="3" max="3" width="16.33203125" style="1" bestFit="1" customWidth="1"/>
    <col min="4" max="4" width="9.5" style="1" bestFit="1" customWidth="1"/>
    <col min="5" max="5" width="7.83203125" style="1" bestFit="1" customWidth="1"/>
    <col min="6" max="6" width="5.83203125" style="1" bestFit="1" customWidth="1"/>
    <col min="7" max="7" width="5.5" style="1" bestFit="1" customWidth="1"/>
    <col min="8" max="8" width="14.5" style="1" bestFit="1" customWidth="1"/>
    <col min="9" max="9" width="15.5" style="1" bestFit="1" customWidth="1"/>
    <col min="10" max="10" width="14.33203125" style="1" bestFit="1" customWidth="1"/>
    <col min="11" max="11" width="6" style="1" bestFit="1" customWidth="1"/>
    <col min="12" max="12" width="16" style="1" bestFit="1" customWidth="1"/>
    <col min="13" max="13" width="16.6640625" style="1" bestFit="1" customWidth="1"/>
    <col min="14" max="14" width="12.5" style="1"/>
    <col min="15" max="15" width="14.83203125" style="1" bestFit="1" customWidth="1"/>
    <col min="16" max="17" width="12.5" style="1"/>
    <col min="18" max="18" width="12" style="1" bestFit="1" customWidth="1"/>
    <col min="19" max="26" width="12.5" style="1"/>
    <col min="27" max="27" width="6.83203125" style="1" bestFit="1" customWidth="1"/>
    <col min="28" max="16384" width="12.5" style="1"/>
  </cols>
  <sheetData>
    <row r="1" spans="1:27" ht="15.75" customHeight="1">
      <c r="A1" s="2" t="s">
        <v>45</v>
      </c>
      <c r="B1" s="3">
        <v>44970.399305555555</v>
      </c>
      <c r="C1" s="2" t="s">
        <v>162</v>
      </c>
      <c r="D1" s="14">
        <v>-2.6</v>
      </c>
      <c r="E1" s="14">
        <v>-6.7</v>
      </c>
      <c r="F1" s="14">
        <v>0.03</v>
      </c>
      <c r="G1" s="14">
        <v>0.21</v>
      </c>
      <c r="H1" s="12">
        <v>18</v>
      </c>
      <c r="I1" s="12">
        <v>15.5</v>
      </c>
      <c r="J1" s="16">
        <v>173.86348799999999</v>
      </c>
      <c r="K1" s="12">
        <v>106</v>
      </c>
      <c r="L1" s="2">
        <v>70</v>
      </c>
      <c r="M1" s="2" t="s">
        <v>161</v>
      </c>
      <c r="N1" s="2">
        <f>CORREL(H1:H112, E1:E112)</f>
        <v>0.34868825211933463</v>
      </c>
      <c r="O1" s="2">
        <f t="shared" ref="O1:O32" ca="1" si="0">I1*$O$2</f>
        <v>0.43891039999999998</v>
      </c>
      <c r="AA1" s="2" t="s">
        <v>160</v>
      </c>
    </row>
    <row r="2" spans="1:27" ht="15.75" customHeight="1">
      <c r="A2" s="2" t="s">
        <v>42</v>
      </c>
      <c r="B2" s="3">
        <v>44970.429166666669</v>
      </c>
      <c r="C2" s="2" t="s">
        <v>159</v>
      </c>
      <c r="D2" s="17">
        <v>-1.9</v>
      </c>
      <c r="E2" s="17">
        <v>-2.2000000000000002</v>
      </c>
      <c r="F2" s="17">
        <v>0.01</v>
      </c>
      <c r="G2" s="17">
        <v>0.11</v>
      </c>
      <c r="H2" s="12">
        <v>18.8</v>
      </c>
      <c r="I2" s="12">
        <v>12.4</v>
      </c>
      <c r="J2" s="12">
        <v>177.575525</v>
      </c>
      <c r="K2" s="12">
        <v>140.6</v>
      </c>
      <c r="L2" s="2">
        <f>(63.98+70.2+57.01+47)/4</f>
        <v>59.547499999999999</v>
      </c>
      <c r="O2" s="2">
        <f t="shared" ca="1" si="0"/>
        <v>0.35112831999999999</v>
      </c>
    </row>
    <row r="3" spans="1:27" ht="15.75" customHeight="1">
      <c r="A3" s="2" t="s">
        <v>34</v>
      </c>
      <c r="B3" s="3">
        <v>44972.372916666667</v>
      </c>
      <c r="C3" s="2" t="s">
        <v>158</v>
      </c>
      <c r="D3" s="14">
        <v>-4</v>
      </c>
      <c r="E3" s="14">
        <v>-21.4</v>
      </c>
      <c r="F3" s="14">
        <v>0.02</v>
      </c>
      <c r="G3" s="14">
        <v>0.11</v>
      </c>
      <c r="H3" s="12">
        <v>18.5</v>
      </c>
      <c r="I3" s="12">
        <v>15.5</v>
      </c>
      <c r="J3" s="16">
        <v>9.2727170000000001</v>
      </c>
      <c r="K3" s="12">
        <v>135.6</v>
      </c>
      <c r="O3" s="2">
        <f t="shared" ca="1" si="0"/>
        <v>0.43891039999999998</v>
      </c>
      <c r="AA3" s="2">
        <f t="shared" ref="AA3:AA34" si="1">8.2*D3+10.8</f>
        <v>-21.999999999999996</v>
      </c>
    </row>
    <row r="4" spans="1:27" ht="15.75" customHeight="1">
      <c r="A4" s="2" t="s">
        <v>36</v>
      </c>
      <c r="B4" s="3">
        <v>44972.397916666669</v>
      </c>
      <c r="C4" s="2" t="s">
        <v>157</v>
      </c>
      <c r="D4" s="14">
        <v>-3.9</v>
      </c>
      <c r="E4" s="14">
        <v>-20.6</v>
      </c>
      <c r="F4" s="14">
        <v>0.01</v>
      </c>
      <c r="G4" s="14">
        <v>0.1</v>
      </c>
      <c r="H4" s="12">
        <v>18.5</v>
      </c>
      <c r="I4" s="12">
        <v>14.5</v>
      </c>
      <c r="J4" s="12">
        <v>14.037592099999999</v>
      </c>
      <c r="K4" s="12">
        <v>134.69999999999999</v>
      </c>
      <c r="L4" s="2">
        <f>(8.06+5.17)/2</f>
        <v>6.6150000000000002</v>
      </c>
      <c r="O4" s="2">
        <f t="shared" ca="1" si="0"/>
        <v>0.4105936</v>
      </c>
      <c r="AA4" s="2">
        <f t="shared" si="1"/>
        <v>-21.179999999999996</v>
      </c>
    </row>
    <row r="5" spans="1:27" ht="15.75" customHeight="1">
      <c r="A5" s="2" t="s">
        <v>28</v>
      </c>
      <c r="B5" s="15">
        <v>44974.370833333334</v>
      </c>
      <c r="C5" s="2" t="s">
        <v>156</v>
      </c>
      <c r="D5" s="14">
        <v>-8.3000000000000007</v>
      </c>
      <c r="E5" s="14">
        <v>-57.5</v>
      </c>
      <c r="F5" s="14">
        <v>0.01</v>
      </c>
      <c r="G5" s="14">
        <v>0.25</v>
      </c>
      <c r="H5" s="12">
        <v>19.399999999999999</v>
      </c>
      <c r="I5" s="12">
        <v>22.1</v>
      </c>
      <c r="J5" s="16">
        <v>68.772668800000005</v>
      </c>
      <c r="K5" s="12">
        <v>128.69999999999999</v>
      </c>
      <c r="L5" s="2">
        <v>0</v>
      </c>
      <c r="O5" s="2">
        <f t="shared" ca="1" si="0"/>
        <v>0.62580128000000002</v>
      </c>
      <c r="AA5" s="2">
        <f t="shared" si="1"/>
        <v>-57.260000000000005</v>
      </c>
    </row>
    <row r="6" spans="1:27" ht="14">
      <c r="A6" s="2" t="s">
        <v>30</v>
      </c>
      <c r="B6" s="15">
        <v>44974.385416666664</v>
      </c>
      <c r="C6" s="2" t="s">
        <v>155</v>
      </c>
      <c r="D6" s="14">
        <v>-8.4</v>
      </c>
      <c r="E6" s="14">
        <v>-58.3</v>
      </c>
      <c r="F6" s="14">
        <v>0.01</v>
      </c>
      <c r="G6" s="14">
        <v>0.16</v>
      </c>
      <c r="H6" s="12">
        <v>19.600000000000001</v>
      </c>
      <c r="I6" s="12">
        <v>19.2</v>
      </c>
      <c r="J6" s="12">
        <v>14.746977100000001</v>
      </c>
      <c r="K6" s="12">
        <v>247.2</v>
      </c>
      <c r="L6" s="2">
        <v>0</v>
      </c>
      <c r="O6" s="2">
        <f t="shared" ca="1" si="0"/>
        <v>0.54368255999999993</v>
      </c>
      <c r="AA6" s="2">
        <f t="shared" si="1"/>
        <v>-58.08</v>
      </c>
    </row>
    <row r="7" spans="1:27" ht="15.75" customHeight="1">
      <c r="A7" s="2" t="s">
        <v>32</v>
      </c>
      <c r="B7" s="15">
        <v>44974.40902777778</v>
      </c>
      <c r="C7" s="2" t="s">
        <v>154</v>
      </c>
      <c r="D7" s="14">
        <v>-6.8</v>
      </c>
      <c r="E7" s="14">
        <v>-46.3</v>
      </c>
      <c r="F7" s="14">
        <v>0.03</v>
      </c>
      <c r="G7" s="14">
        <v>0.28999999999999998</v>
      </c>
      <c r="H7" s="12">
        <v>20.2</v>
      </c>
      <c r="I7" s="12">
        <v>17.8</v>
      </c>
      <c r="J7" s="16">
        <v>84.999915000000001</v>
      </c>
      <c r="K7" s="12">
        <v>6085</v>
      </c>
      <c r="L7" s="2">
        <v>0</v>
      </c>
      <c r="O7" s="2">
        <f t="shared" ca="1" si="0"/>
        <v>0.50403903999999999</v>
      </c>
      <c r="AA7" s="2">
        <f t="shared" si="1"/>
        <v>-44.959999999999994</v>
      </c>
    </row>
    <row r="8" spans="1:27" ht="15.75" customHeight="1">
      <c r="A8" s="2" t="s">
        <v>40</v>
      </c>
      <c r="B8" s="15">
        <v>44974.432638888888</v>
      </c>
      <c r="C8" s="2" t="s">
        <v>153</v>
      </c>
      <c r="D8" s="14">
        <v>-5</v>
      </c>
      <c r="E8" s="14">
        <v>-26.9</v>
      </c>
      <c r="F8" s="14">
        <v>0.02</v>
      </c>
      <c r="G8" s="14">
        <v>0.1</v>
      </c>
      <c r="H8" s="12">
        <v>18.399999999999999</v>
      </c>
      <c r="I8" s="12">
        <v>17.100000000000001</v>
      </c>
      <c r="J8" s="12">
        <v>25.275173800000001</v>
      </c>
      <c r="K8" s="12">
        <v>119.9</v>
      </c>
      <c r="O8" s="2">
        <f t="shared" ca="1" si="0"/>
        <v>0.48421728000000003</v>
      </c>
      <c r="AA8" s="2">
        <f t="shared" si="1"/>
        <v>-30.2</v>
      </c>
    </row>
    <row r="9" spans="1:27" ht="15.75" customHeight="1">
      <c r="A9" s="2" t="s">
        <v>45</v>
      </c>
      <c r="B9" s="3">
        <v>44977.37222222222</v>
      </c>
      <c r="C9" s="2" t="s">
        <v>152</v>
      </c>
      <c r="D9" s="14">
        <v>-3.7</v>
      </c>
      <c r="E9" s="14">
        <v>-14.1</v>
      </c>
      <c r="F9" s="14">
        <v>0.01</v>
      </c>
      <c r="G9" s="14">
        <v>0.09</v>
      </c>
      <c r="H9" s="12">
        <v>17.7</v>
      </c>
      <c r="I9" s="12">
        <v>15.1</v>
      </c>
      <c r="J9" s="16">
        <v>87.318107499999996</v>
      </c>
      <c r="K9" s="12">
        <v>74.5</v>
      </c>
      <c r="L9" s="2">
        <v>70</v>
      </c>
      <c r="M9" s="2" t="s">
        <v>151</v>
      </c>
      <c r="N9" s="2">
        <f>CORREL(I7:I119, E7:E119)</f>
        <v>-0.40901945630356118</v>
      </c>
      <c r="O9" s="2">
        <f t="shared" ca="1" si="0"/>
        <v>0.42758367999999997</v>
      </c>
      <c r="AA9" s="2">
        <f t="shared" si="1"/>
        <v>-19.54</v>
      </c>
    </row>
    <row r="10" spans="1:27" ht="15.75" customHeight="1">
      <c r="A10" s="2" t="s">
        <v>150</v>
      </c>
      <c r="B10" s="3">
        <v>44977.393055555556</v>
      </c>
      <c r="C10" s="2" t="s">
        <v>149</v>
      </c>
      <c r="D10" s="14">
        <v>-2.6</v>
      </c>
      <c r="E10" s="14">
        <v>-7.6</v>
      </c>
      <c r="F10" s="14">
        <v>0.01</v>
      </c>
      <c r="G10" s="14">
        <v>0.12</v>
      </c>
      <c r="H10" s="2">
        <v>18.7</v>
      </c>
      <c r="I10" s="2">
        <f>15.3</f>
        <v>15.3</v>
      </c>
      <c r="J10" s="16">
        <v>240.42189999999999</v>
      </c>
      <c r="K10" s="12">
        <v>91.4</v>
      </c>
      <c r="O10" s="2">
        <f t="shared" ca="1" si="0"/>
        <v>0.43324704000000003</v>
      </c>
      <c r="AA10" s="2">
        <f t="shared" si="1"/>
        <v>-10.52</v>
      </c>
    </row>
    <row r="11" spans="1:27" ht="15.75" customHeight="1">
      <c r="A11" s="2" t="s">
        <v>40</v>
      </c>
      <c r="B11" s="3">
        <v>44977.43472222222</v>
      </c>
      <c r="C11" s="2" t="s">
        <v>148</v>
      </c>
      <c r="D11" s="14">
        <v>-3.1</v>
      </c>
      <c r="E11" s="14">
        <v>-10.6</v>
      </c>
      <c r="F11" s="14">
        <v>0.03</v>
      </c>
      <c r="G11" s="14">
        <v>0.13</v>
      </c>
      <c r="H11" s="12">
        <v>19.3</v>
      </c>
      <c r="I11" s="12">
        <v>14.1</v>
      </c>
      <c r="J11" s="16">
        <v>57.954496300000002</v>
      </c>
      <c r="K11" s="12">
        <v>126.8</v>
      </c>
      <c r="O11" s="2">
        <f t="shared" ca="1" si="0"/>
        <v>0.39926687999999999</v>
      </c>
      <c r="AA11" s="2">
        <f t="shared" si="1"/>
        <v>-14.619999999999997</v>
      </c>
    </row>
    <row r="12" spans="1:27" ht="14">
      <c r="A12" s="2" t="s">
        <v>42</v>
      </c>
      <c r="B12" s="3">
        <v>44977.448611111111</v>
      </c>
      <c r="C12" s="2" t="s">
        <v>147</v>
      </c>
      <c r="D12" s="14">
        <v>-3.1</v>
      </c>
      <c r="E12" s="14">
        <v>-10.3</v>
      </c>
      <c r="F12" s="14">
        <v>0.03</v>
      </c>
      <c r="G12" s="14">
        <v>0.25</v>
      </c>
      <c r="H12" s="12">
        <v>18.899999999999999</v>
      </c>
      <c r="I12" s="12">
        <v>14.8</v>
      </c>
      <c r="J12" s="12">
        <v>279.846025</v>
      </c>
      <c r="K12" s="12">
        <v>122.4</v>
      </c>
      <c r="L12" s="2">
        <f>(63.98+70.2+57.01+47)/4</f>
        <v>59.547499999999999</v>
      </c>
      <c r="O12" s="2">
        <f t="shared" ca="1" si="0"/>
        <v>0.41908864000000001</v>
      </c>
      <c r="AA12" s="2">
        <f t="shared" si="1"/>
        <v>-14.619999999999997</v>
      </c>
    </row>
    <row r="13" spans="1:27" ht="15.75" customHeight="1">
      <c r="A13" s="2" t="s">
        <v>38</v>
      </c>
      <c r="B13" s="3">
        <v>44979.367361111108</v>
      </c>
      <c r="C13" s="2" t="s">
        <v>146</v>
      </c>
      <c r="D13" s="14">
        <v>-2.5</v>
      </c>
      <c r="E13" s="14">
        <v>-6.5</v>
      </c>
      <c r="F13" s="14">
        <v>0.02</v>
      </c>
      <c r="G13" s="14">
        <v>0.05</v>
      </c>
      <c r="H13" s="12">
        <v>19.3</v>
      </c>
      <c r="I13" s="12">
        <v>20.6</v>
      </c>
      <c r="J13" s="16">
        <v>43.272688799999997</v>
      </c>
      <c r="K13" s="12">
        <v>150.80000000000001</v>
      </c>
      <c r="L13" s="2">
        <f>(5.15+2.28+1.74+7.04)/4</f>
        <v>4.0525000000000002</v>
      </c>
      <c r="O13" s="2">
        <f t="shared" ca="1" si="0"/>
        <v>0.58332608000000008</v>
      </c>
      <c r="AA13" s="2">
        <f t="shared" si="1"/>
        <v>-9.6999999999999993</v>
      </c>
    </row>
    <row r="14" spans="1:27" ht="15.75" customHeight="1">
      <c r="A14" s="2" t="s">
        <v>26</v>
      </c>
      <c r="B14" s="3">
        <v>44979.385416666664</v>
      </c>
      <c r="C14" s="2" t="s">
        <v>145</v>
      </c>
      <c r="D14" s="14">
        <v>-2.4</v>
      </c>
      <c r="E14" s="14">
        <v>-5.7</v>
      </c>
      <c r="F14" s="14">
        <v>0.01</v>
      </c>
      <c r="G14" s="14">
        <v>0.04</v>
      </c>
      <c r="H14" s="12">
        <v>19.5</v>
      </c>
      <c r="I14" s="12">
        <v>22.4</v>
      </c>
      <c r="J14" s="16">
        <v>80.716147500000005</v>
      </c>
      <c r="K14" s="12">
        <v>172.4</v>
      </c>
      <c r="L14" s="2">
        <f>(3.37+4.54+4.54)/3</f>
        <v>4.1499999999999995</v>
      </c>
      <c r="O14" s="2">
        <f t="shared" ca="1" si="0"/>
        <v>0.63429631999999991</v>
      </c>
      <c r="AA14" s="2">
        <f t="shared" si="1"/>
        <v>-8.8799999999999955</v>
      </c>
    </row>
    <row r="15" spans="1:27" ht="15.75" customHeight="1">
      <c r="A15" s="2" t="s">
        <v>36</v>
      </c>
      <c r="B15" s="3">
        <v>44979.541666666664</v>
      </c>
      <c r="C15" s="2" t="s">
        <v>144</v>
      </c>
      <c r="D15" s="14">
        <v>-2.1</v>
      </c>
      <c r="E15" s="14">
        <v>-4.2</v>
      </c>
      <c r="F15" s="14">
        <v>0.01</v>
      </c>
      <c r="G15" s="14">
        <v>0.14000000000000001</v>
      </c>
      <c r="H15" s="12">
        <v>20.3</v>
      </c>
      <c r="I15" s="12">
        <v>20.9</v>
      </c>
      <c r="J15" s="16">
        <v>6.9545380000000003</v>
      </c>
      <c r="K15" s="12">
        <v>140.30000000000001</v>
      </c>
      <c r="L15" s="2">
        <f>(8.06+5.17)/2</f>
        <v>6.6150000000000002</v>
      </c>
      <c r="O15" s="2">
        <f t="shared" ca="1" si="0"/>
        <v>0.59182111999999998</v>
      </c>
      <c r="AA15" s="2">
        <f t="shared" si="1"/>
        <v>-6.4199999999999982</v>
      </c>
    </row>
    <row r="16" spans="1:27" ht="15.75" customHeight="1">
      <c r="A16" s="2" t="s">
        <v>34</v>
      </c>
      <c r="B16" s="3">
        <v>44979.5625</v>
      </c>
      <c r="C16" s="2" t="s">
        <v>143</v>
      </c>
      <c r="D16" s="14">
        <v>-2.1</v>
      </c>
      <c r="E16" s="14">
        <v>-4.0999999999999996</v>
      </c>
      <c r="F16" s="14">
        <v>0.02</v>
      </c>
      <c r="G16" s="14">
        <v>0.15</v>
      </c>
      <c r="H16" s="12">
        <v>20.2</v>
      </c>
      <c r="I16" s="12">
        <v>20.9</v>
      </c>
      <c r="J16" s="16">
        <v>11.9319539</v>
      </c>
      <c r="K16" s="12">
        <v>140.80000000000001</v>
      </c>
      <c r="O16" s="2">
        <f t="shared" ca="1" si="0"/>
        <v>0.59182111999999998</v>
      </c>
      <c r="AA16" s="2">
        <f t="shared" si="1"/>
        <v>-6.4199999999999982</v>
      </c>
    </row>
    <row r="17" spans="1:27" ht="15.75" customHeight="1">
      <c r="A17" s="2" t="s">
        <v>28</v>
      </c>
      <c r="B17" s="15">
        <v>44981.361111111109</v>
      </c>
      <c r="C17" s="2" t="s">
        <v>142</v>
      </c>
      <c r="D17" s="14">
        <v>-2.1</v>
      </c>
      <c r="E17" s="14">
        <v>-4.4000000000000004</v>
      </c>
      <c r="F17" s="14">
        <v>0.03</v>
      </c>
      <c r="G17" s="14">
        <v>0.18</v>
      </c>
      <c r="H17" s="12">
        <v>19</v>
      </c>
      <c r="I17" s="12">
        <v>12</v>
      </c>
      <c r="J17" s="16">
        <v>45.590871300000003</v>
      </c>
      <c r="K17" s="12">
        <v>209.4</v>
      </c>
      <c r="L17" s="2">
        <v>0</v>
      </c>
      <c r="O17" s="2">
        <f t="shared" ca="1" si="0"/>
        <v>0.33980159999999998</v>
      </c>
      <c r="AA17" s="2">
        <f t="shared" si="1"/>
        <v>-6.4199999999999982</v>
      </c>
    </row>
    <row r="18" spans="1:27" ht="15.75" customHeight="1">
      <c r="A18" s="2" t="s">
        <v>30</v>
      </c>
      <c r="B18" s="15">
        <v>44981.375</v>
      </c>
      <c r="C18" s="2" t="s">
        <v>141</v>
      </c>
      <c r="D18" s="14">
        <v>-2.1</v>
      </c>
      <c r="E18" s="14">
        <v>-4.2</v>
      </c>
      <c r="F18" s="14">
        <v>0.01</v>
      </c>
      <c r="G18" s="14">
        <v>0.23</v>
      </c>
      <c r="H18" s="12">
        <v>19.100000000000001</v>
      </c>
      <c r="I18" s="12">
        <v>11.7</v>
      </c>
      <c r="J18" s="16">
        <v>119.34456299999999</v>
      </c>
      <c r="K18" s="12">
        <v>1058</v>
      </c>
      <c r="L18" s="2">
        <v>0</v>
      </c>
      <c r="O18" s="2">
        <f t="shared" ca="1" si="0"/>
        <v>0.33130655999999997</v>
      </c>
      <c r="AA18" s="2">
        <f t="shared" si="1"/>
        <v>-6.4199999999999982</v>
      </c>
    </row>
    <row r="19" spans="1:27" ht="15.75" customHeight="1">
      <c r="A19" s="2" t="s">
        <v>32</v>
      </c>
      <c r="B19" s="15">
        <v>44981.395833333336</v>
      </c>
      <c r="C19" s="2" t="s">
        <v>140</v>
      </c>
      <c r="D19" s="14">
        <v>-1.3</v>
      </c>
      <c r="E19" s="14">
        <v>-1.6</v>
      </c>
      <c r="F19" s="14">
        <v>0.01</v>
      </c>
      <c r="G19" s="14">
        <v>0.1</v>
      </c>
      <c r="H19" s="12">
        <v>20.7</v>
      </c>
      <c r="I19" s="12">
        <v>13.5</v>
      </c>
      <c r="J19" s="16">
        <v>45.590870000000002</v>
      </c>
      <c r="K19" s="12">
        <v>17408</v>
      </c>
      <c r="L19" s="2">
        <v>0</v>
      </c>
      <c r="O19" s="2">
        <f t="shared" ca="1" si="0"/>
        <v>0.38227679999999997</v>
      </c>
      <c r="AA19" s="2">
        <f t="shared" si="1"/>
        <v>0.14000000000000057</v>
      </c>
    </row>
    <row r="20" spans="1:27" ht="15.75" customHeight="1">
      <c r="A20" s="2" t="s">
        <v>26</v>
      </c>
      <c r="B20" s="3">
        <v>44986.363888888889</v>
      </c>
      <c r="C20" s="2" t="s">
        <v>139</v>
      </c>
      <c r="D20" s="14">
        <v>-2.8</v>
      </c>
      <c r="E20" s="14">
        <v>-6.4</v>
      </c>
      <c r="F20" s="14">
        <v>0.02</v>
      </c>
      <c r="G20" s="14">
        <v>0.05</v>
      </c>
      <c r="H20" s="12">
        <v>17.7</v>
      </c>
      <c r="I20" s="12">
        <v>38.299999999999997</v>
      </c>
      <c r="J20" s="16">
        <v>3.08000338</v>
      </c>
      <c r="K20" s="12">
        <v>156</v>
      </c>
      <c r="L20" s="2">
        <f>(3.37+4.54+4.54)/3</f>
        <v>4.1499999999999995</v>
      </c>
      <c r="O20" s="2">
        <f t="shared" ca="1" si="0"/>
        <v>1.08453344</v>
      </c>
      <c r="AA20" s="2">
        <f t="shared" si="1"/>
        <v>-12.159999999999997</v>
      </c>
    </row>
    <row r="21" spans="1:27" ht="15.75" customHeight="1">
      <c r="A21" s="2" t="s">
        <v>38</v>
      </c>
      <c r="B21" s="3">
        <v>44986.381944444445</v>
      </c>
      <c r="C21" s="2" t="s">
        <v>138</v>
      </c>
      <c r="D21" s="14">
        <v>-2.9</v>
      </c>
      <c r="E21" s="14">
        <v>-6.7</v>
      </c>
      <c r="F21" s="14">
        <v>0.01</v>
      </c>
      <c r="G21" s="14">
        <v>0.05</v>
      </c>
      <c r="H21" s="12">
        <v>17.7</v>
      </c>
      <c r="I21" s="12">
        <v>33.799999999999997</v>
      </c>
      <c r="J21" s="16">
        <v>90.586263799999998</v>
      </c>
      <c r="K21" s="12">
        <v>128.30000000000001</v>
      </c>
      <c r="L21" s="2">
        <f>(5.15+2.28+1.74+7.04)/4</f>
        <v>4.0525000000000002</v>
      </c>
      <c r="O21" s="2">
        <f t="shared" ca="1" si="0"/>
        <v>0.95710783999999993</v>
      </c>
      <c r="AA21" s="2">
        <f t="shared" si="1"/>
        <v>-12.979999999999997</v>
      </c>
    </row>
    <row r="22" spans="1:27" ht="15.75" customHeight="1">
      <c r="A22" s="2" t="s">
        <v>40</v>
      </c>
      <c r="B22" s="3">
        <v>44986.401388888888</v>
      </c>
      <c r="C22" s="2" t="s">
        <v>137</v>
      </c>
      <c r="D22" s="14">
        <v>-3.1</v>
      </c>
      <c r="E22" s="14">
        <v>-10.3</v>
      </c>
      <c r="F22" s="14">
        <v>0.01</v>
      </c>
      <c r="G22" s="14">
        <v>7.0000000000000007E-2</v>
      </c>
      <c r="H22" s="12">
        <v>17.5</v>
      </c>
      <c r="I22" s="12">
        <v>30.7</v>
      </c>
      <c r="J22" s="16">
        <v>6.9531650000000003</v>
      </c>
      <c r="K22" s="12">
        <v>112.2</v>
      </c>
      <c r="O22" s="2">
        <f t="shared" ca="1" si="0"/>
        <v>0.86932575999999995</v>
      </c>
      <c r="AA22" s="2">
        <f t="shared" si="1"/>
        <v>-14.619999999999997</v>
      </c>
    </row>
    <row r="23" spans="1:27" ht="15.75" customHeight="1">
      <c r="A23" s="2" t="s">
        <v>40</v>
      </c>
      <c r="B23" s="3">
        <v>45019.381944444445</v>
      </c>
      <c r="C23" s="2" t="s">
        <v>136</v>
      </c>
      <c r="D23" s="14">
        <v>-2.7</v>
      </c>
      <c r="E23" s="14">
        <v>-6.9</v>
      </c>
      <c r="F23" s="14">
        <v>0.01</v>
      </c>
      <c r="G23" s="14">
        <v>0.05</v>
      </c>
      <c r="H23" s="12">
        <v>21.5</v>
      </c>
      <c r="I23" s="12">
        <v>22.3</v>
      </c>
      <c r="J23" s="12">
        <v>38.602017500000002</v>
      </c>
      <c r="K23" s="12">
        <v>135</v>
      </c>
      <c r="O23" s="2">
        <f t="shared" ca="1" si="0"/>
        <v>0.63146464000000002</v>
      </c>
      <c r="AA23" s="2">
        <f t="shared" si="1"/>
        <v>-11.34</v>
      </c>
    </row>
    <row r="24" spans="1:27" ht="14">
      <c r="A24" s="2" t="s">
        <v>42</v>
      </c>
      <c r="B24" s="4">
        <v>45019.401388888888</v>
      </c>
      <c r="C24" s="2" t="s">
        <v>135</v>
      </c>
      <c r="D24" s="14">
        <v>-2.7</v>
      </c>
      <c r="E24" s="14">
        <v>-6.9</v>
      </c>
      <c r="F24" s="14">
        <v>0.02</v>
      </c>
      <c r="G24" s="14">
        <v>0.06</v>
      </c>
      <c r="H24" s="12">
        <v>21.2</v>
      </c>
      <c r="I24" s="12">
        <v>20.100000000000001</v>
      </c>
      <c r="J24" s="12">
        <v>46.085418799999999</v>
      </c>
      <c r="K24" s="12">
        <v>128</v>
      </c>
      <c r="L24" s="2">
        <f>(63.98+70.2+57.01+47)/4</f>
        <v>59.547499999999999</v>
      </c>
      <c r="O24" s="2">
        <f t="shared" ca="1" si="0"/>
        <v>0.56916768000000006</v>
      </c>
      <c r="AA24" s="2">
        <f t="shared" si="1"/>
        <v>-11.34</v>
      </c>
    </row>
    <row r="25" spans="1:27" ht="14">
      <c r="A25" s="2" t="s">
        <v>38</v>
      </c>
      <c r="B25" s="15">
        <v>45028.354166666664</v>
      </c>
      <c r="C25" s="2" t="s">
        <v>134</v>
      </c>
      <c r="D25" s="14">
        <v>-2.2999999999999998</v>
      </c>
      <c r="E25" s="14">
        <v>-4.5999999999999996</v>
      </c>
      <c r="F25" s="14">
        <v>0.01</v>
      </c>
      <c r="G25" s="14">
        <v>0.03</v>
      </c>
      <c r="H25" s="12">
        <v>21.6</v>
      </c>
      <c r="I25" s="12">
        <v>8.52</v>
      </c>
      <c r="J25" s="12">
        <v>21.606146299999999</v>
      </c>
      <c r="K25" s="12">
        <v>178</v>
      </c>
      <c r="L25" s="2">
        <f>(5.15+2.28+1.74+7.04)/4</f>
        <v>4.0525000000000002</v>
      </c>
      <c r="O25" s="2">
        <f t="shared" ca="1" si="0"/>
        <v>0.24125913599999999</v>
      </c>
      <c r="AA25" s="2">
        <f t="shared" si="1"/>
        <v>-8.0599999999999952</v>
      </c>
    </row>
    <row r="26" spans="1:27" ht="15.75" customHeight="1">
      <c r="A26" s="2" t="s">
        <v>26</v>
      </c>
      <c r="B26" s="15">
        <v>45028.368750000001</v>
      </c>
      <c r="C26" s="2" t="s">
        <v>133</v>
      </c>
      <c r="D26" s="14">
        <v>-2.2999999999999998</v>
      </c>
      <c r="E26" s="14">
        <v>-4.5</v>
      </c>
      <c r="F26" s="14">
        <v>0.01</v>
      </c>
      <c r="G26" s="14">
        <v>7.0000000000000007E-2</v>
      </c>
      <c r="H26" s="12">
        <v>21.8</v>
      </c>
      <c r="I26" s="12">
        <v>8.52</v>
      </c>
      <c r="J26" s="12">
        <v>85.667001299999995</v>
      </c>
      <c r="K26" s="12">
        <v>170.4</v>
      </c>
      <c r="L26" s="2">
        <f>(3.37+4.54+4.54)/3</f>
        <v>4.1499999999999995</v>
      </c>
      <c r="O26" s="2">
        <f t="shared" ca="1" si="0"/>
        <v>0.24125913599999999</v>
      </c>
      <c r="AA26" s="2">
        <f t="shared" si="1"/>
        <v>-8.0599999999999952</v>
      </c>
    </row>
    <row r="27" spans="1:27" ht="14">
      <c r="A27" s="2" t="s">
        <v>36</v>
      </c>
      <c r="B27" s="3">
        <v>45030.337500000001</v>
      </c>
      <c r="C27" s="2" t="s">
        <v>132</v>
      </c>
      <c r="D27" s="14">
        <v>-2.1</v>
      </c>
      <c r="E27" s="14">
        <v>-3.8</v>
      </c>
      <c r="F27" s="14">
        <v>0.02</v>
      </c>
      <c r="G27" s="14">
        <v>0.08</v>
      </c>
      <c r="H27" s="12">
        <v>21.4</v>
      </c>
      <c r="I27" s="12">
        <v>9.31</v>
      </c>
      <c r="J27" s="12">
        <v>4.6281233000000004</v>
      </c>
      <c r="K27" s="12">
        <v>109.3</v>
      </c>
      <c r="L27" s="2">
        <f>(8.06+5.17)/2</f>
        <v>6.6150000000000002</v>
      </c>
      <c r="O27" s="2">
        <f t="shared" ca="1" si="0"/>
        <v>0.26362940800000001</v>
      </c>
      <c r="AA27" s="2">
        <f t="shared" si="1"/>
        <v>-6.4199999999999982</v>
      </c>
    </row>
    <row r="28" spans="1:27" ht="15.75" customHeight="1">
      <c r="A28" s="2" t="s">
        <v>34</v>
      </c>
      <c r="B28" s="3">
        <v>45030.351388888892</v>
      </c>
      <c r="C28" s="2" t="s">
        <v>131</v>
      </c>
      <c r="D28" s="14">
        <v>-2.1</v>
      </c>
      <c r="E28" s="14">
        <v>-3.6</v>
      </c>
      <c r="F28" s="14">
        <v>0.02</v>
      </c>
      <c r="G28" s="14">
        <v>0.03</v>
      </c>
      <c r="H28" s="12">
        <v>21.5</v>
      </c>
      <c r="I28" s="12">
        <v>9.31</v>
      </c>
      <c r="J28" s="12">
        <v>13.1672625</v>
      </c>
      <c r="K28" s="12">
        <v>173.4</v>
      </c>
      <c r="O28" s="2">
        <f t="shared" ca="1" si="0"/>
        <v>0.26362940800000001</v>
      </c>
      <c r="AA28" s="2">
        <f t="shared" si="1"/>
        <v>-6.4199999999999982</v>
      </c>
    </row>
    <row r="29" spans="1:27" ht="15.75" customHeight="1">
      <c r="A29" s="2" t="s">
        <v>28</v>
      </c>
      <c r="B29" s="3">
        <v>45033.361111111109</v>
      </c>
      <c r="C29" s="2" t="s">
        <v>130</v>
      </c>
      <c r="D29" s="14">
        <v>-2.2000000000000002</v>
      </c>
      <c r="E29" s="14">
        <v>-4.5999999999999996</v>
      </c>
      <c r="F29" s="14">
        <v>0.03</v>
      </c>
      <c r="G29" s="14">
        <v>0.06</v>
      </c>
      <c r="H29" s="12">
        <v>22.5</v>
      </c>
      <c r="I29" s="12">
        <v>4.5199999999999996</v>
      </c>
      <c r="J29" s="12">
        <v>15.427077799999999</v>
      </c>
      <c r="K29" s="12">
        <v>214.2</v>
      </c>
      <c r="L29" s="2">
        <v>0</v>
      </c>
      <c r="O29" s="2">
        <f t="shared" ca="1" si="0"/>
        <v>0.12799193599999997</v>
      </c>
      <c r="AA29" s="2">
        <f t="shared" si="1"/>
        <v>-7.2399999999999984</v>
      </c>
    </row>
    <row r="30" spans="1:27" ht="14">
      <c r="A30" s="2" t="s">
        <v>30</v>
      </c>
      <c r="B30" s="3">
        <v>45033.375</v>
      </c>
      <c r="C30" s="2" t="s">
        <v>129</v>
      </c>
      <c r="D30" s="14">
        <v>-2.2000000000000002</v>
      </c>
      <c r="E30" s="14">
        <v>-4.7</v>
      </c>
      <c r="F30" s="14">
        <v>0.01</v>
      </c>
      <c r="G30" s="14">
        <v>0.11</v>
      </c>
      <c r="H30" s="12">
        <v>23.8</v>
      </c>
      <c r="I30" s="12">
        <v>4.5199999999999996</v>
      </c>
      <c r="J30" s="12">
        <v>93.635419999999996</v>
      </c>
      <c r="K30" s="12">
        <v>649</v>
      </c>
      <c r="L30" s="2">
        <v>0</v>
      </c>
      <c r="O30" s="2">
        <f t="shared" ca="1" si="0"/>
        <v>0.12799193599999997</v>
      </c>
      <c r="AA30" s="2">
        <f t="shared" si="1"/>
        <v>-7.2399999999999984</v>
      </c>
    </row>
    <row r="31" spans="1:27" ht="14">
      <c r="A31" s="2" t="s">
        <v>32</v>
      </c>
      <c r="B31" s="3">
        <v>45033.386805555558</v>
      </c>
      <c r="C31" s="2" t="s">
        <v>128</v>
      </c>
      <c r="D31" s="14">
        <v>-1.4</v>
      </c>
      <c r="E31" s="14">
        <v>-2</v>
      </c>
      <c r="F31" s="14">
        <v>0.02</v>
      </c>
      <c r="G31" s="14">
        <v>0.09</v>
      </c>
      <c r="H31" s="12">
        <v>25</v>
      </c>
      <c r="I31" s="12">
        <v>4.5199999999999996</v>
      </c>
      <c r="J31" s="12">
        <v>137.16014749999999</v>
      </c>
      <c r="K31" s="12">
        <v>18092</v>
      </c>
      <c r="L31" s="2">
        <v>0</v>
      </c>
      <c r="O31" s="2">
        <f t="shared" ca="1" si="0"/>
        <v>0.12799193599999997</v>
      </c>
      <c r="AA31" s="2">
        <f t="shared" si="1"/>
        <v>-0.67999999999999794</v>
      </c>
    </row>
    <row r="32" spans="1:27" ht="15.75" customHeight="1">
      <c r="A32" s="2" t="s">
        <v>45</v>
      </c>
      <c r="B32" s="3">
        <v>45042.376388888886</v>
      </c>
      <c r="C32" s="2" t="s">
        <v>127</v>
      </c>
      <c r="D32" s="14">
        <v>-2.6</v>
      </c>
      <c r="E32" s="14">
        <v>-5.4</v>
      </c>
      <c r="F32" s="14">
        <v>0.03</v>
      </c>
      <c r="G32" s="14">
        <v>0.21</v>
      </c>
      <c r="H32" s="2">
        <v>20.399999999999999</v>
      </c>
      <c r="I32" s="12">
        <v>15.16</v>
      </c>
      <c r="J32" s="12">
        <v>89.654728800000001</v>
      </c>
      <c r="K32" s="12">
        <v>106</v>
      </c>
      <c r="L32" s="2">
        <v>70</v>
      </c>
      <c r="M32" s="2" t="s">
        <v>126</v>
      </c>
      <c r="N32" s="2">
        <f>CORREL(J30:J141, E30:E141)</f>
        <v>1.5535278712205886E-2</v>
      </c>
      <c r="O32" s="2">
        <f t="shared" ca="1" si="0"/>
        <v>0.42928268800000002</v>
      </c>
      <c r="AA32" s="2">
        <f t="shared" si="1"/>
        <v>-10.52</v>
      </c>
    </row>
    <row r="33" spans="1:27" ht="15.75" customHeight="1">
      <c r="A33" s="2" t="s">
        <v>30</v>
      </c>
      <c r="B33" s="3">
        <v>45058.451388888891</v>
      </c>
      <c r="C33" s="2" t="s">
        <v>125</v>
      </c>
      <c r="D33" s="14">
        <v>-2.4</v>
      </c>
      <c r="E33" s="14">
        <v>-4.7</v>
      </c>
      <c r="F33" s="14">
        <v>0.01</v>
      </c>
      <c r="G33" s="14">
        <v>0.03</v>
      </c>
      <c r="H33" s="12">
        <v>24.6</v>
      </c>
      <c r="I33" s="12">
        <v>11.4</v>
      </c>
      <c r="J33" s="12">
        <v>34.730148800000002</v>
      </c>
      <c r="K33" s="12">
        <v>188</v>
      </c>
      <c r="L33" s="2">
        <v>0</v>
      </c>
      <c r="O33" s="2">
        <f t="shared" ref="O33:O64" ca="1" si="2">I33*$O$2</f>
        <v>0.32281152000000002</v>
      </c>
      <c r="AA33" s="2">
        <f t="shared" si="1"/>
        <v>-8.8799999999999955</v>
      </c>
    </row>
    <row r="34" spans="1:27" ht="15.75" customHeight="1">
      <c r="A34" s="2" t="s">
        <v>32</v>
      </c>
      <c r="B34" s="3">
        <v>45058.46875</v>
      </c>
      <c r="C34" s="2" t="s">
        <v>124</v>
      </c>
      <c r="D34" s="14">
        <v>-2.4</v>
      </c>
      <c r="E34" s="14">
        <v>-4.4000000000000004</v>
      </c>
      <c r="F34" s="14">
        <v>0.02</v>
      </c>
      <c r="G34" s="14">
        <v>0.05</v>
      </c>
      <c r="H34" s="2">
        <v>26.2</v>
      </c>
      <c r="I34" s="12">
        <v>11.1</v>
      </c>
      <c r="J34" s="12">
        <v>10.815515299999999</v>
      </c>
      <c r="K34" s="2">
        <v>3130</v>
      </c>
      <c r="L34" s="2">
        <v>0</v>
      </c>
      <c r="O34" s="2">
        <f t="shared" ca="1" si="2"/>
        <v>0.31431648000000001</v>
      </c>
      <c r="AA34" s="2">
        <f t="shared" si="1"/>
        <v>-8.8799999999999955</v>
      </c>
    </row>
    <row r="35" spans="1:27" ht="14">
      <c r="A35" s="2" t="s">
        <v>28</v>
      </c>
      <c r="B35" s="3">
        <v>45061.423611111109</v>
      </c>
      <c r="C35" s="2" t="s">
        <v>123</v>
      </c>
      <c r="D35" s="14">
        <v>-2.4</v>
      </c>
      <c r="E35" s="14">
        <v>-4.5999999999999996</v>
      </c>
      <c r="F35" s="14">
        <v>0.04</v>
      </c>
      <c r="G35" s="14">
        <v>0.19</v>
      </c>
      <c r="H35" s="12">
        <v>23.1</v>
      </c>
      <c r="I35" s="12">
        <v>6.57</v>
      </c>
      <c r="J35" s="12">
        <v>2.8934579999999999</v>
      </c>
      <c r="K35" s="12">
        <v>164</v>
      </c>
      <c r="L35" s="2">
        <v>0</v>
      </c>
      <c r="O35" s="2">
        <f t="shared" ca="1" si="2"/>
        <v>0.18604137600000001</v>
      </c>
      <c r="AA35" s="2">
        <f t="shared" ref="AA35:AA66" si="3">8.2*D35+10.8</f>
        <v>-8.8799999999999955</v>
      </c>
    </row>
    <row r="36" spans="1:27" ht="14">
      <c r="A36" s="2" t="s">
        <v>34</v>
      </c>
      <c r="B36" s="3">
        <v>45061.453472222223</v>
      </c>
      <c r="C36" s="2" t="s">
        <v>122</v>
      </c>
      <c r="D36" s="14">
        <v>-2.1</v>
      </c>
      <c r="E36" s="14">
        <v>-4.5</v>
      </c>
      <c r="F36" s="14">
        <v>0.02</v>
      </c>
      <c r="G36" s="14">
        <v>0.05</v>
      </c>
      <c r="H36" s="12">
        <v>21.3</v>
      </c>
      <c r="I36" s="12">
        <v>7.3</v>
      </c>
      <c r="J36" s="12">
        <v>11.5703063</v>
      </c>
      <c r="K36" s="12">
        <v>174.2</v>
      </c>
      <c r="O36" s="2">
        <f t="shared" ca="1" si="2"/>
        <v>0.20671264</v>
      </c>
      <c r="AA36" s="2">
        <f t="shared" si="3"/>
        <v>-6.4199999999999982</v>
      </c>
    </row>
    <row r="37" spans="1:27" ht="14">
      <c r="A37" s="2" t="s">
        <v>36</v>
      </c>
      <c r="B37" s="3">
        <v>45061.46875</v>
      </c>
      <c r="C37" s="2" t="s">
        <v>121</v>
      </c>
      <c r="D37" s="14">
        <v>-2.2999999999999998</v>
      </c>
      <c r="E37" s="14">
        <v>-4.3</v>
      </c>
      <c r="F37" s="14">
        <v>0.02</v>
      </c>
      <c r="G37" s="14">
        <v>0.06</v>
      </c>
      <c r="H37" s="12">
        <v>21.2</v>
      </c>
      <c r="I37" s="12">
        <v>7.05</v>
      </c>
      <c r="J37" s="12">
        <v>5.7674203000000004</v>
      </c>
      <c r="K37" s="12">
        <v>106.6</v>
      </c>
      <c r="L37" s="2">
        <f>(8.06+5.17)/2</f>
        <v>6.6150000000000002</v>
      </c>
      <c r="O37" s="2">
        <f t="shared" ca="1" si="2"/>
        <v>0.19963344</v>
      </c>
      <c r="AA37" s="2">
        <f t="shared" si="3"/>
        <v>-8.0599999999999952</v>
      </c>
    </row>
    <row r="38" spans="1:27" ht="15.75" customHeight="1">
      <c r="A38" s="2" t="s">
        <v>26</v>
      </c>
      <c r="B38" s="3">
        <v>45061.486111111109</v>
      </c>
      <c r="C38" s="2" t="s">
        <v>120</v>
      </c>
      <c r="D38" s="14">
        <v>-2.4</v>
      </c>
      <c r="E38" s="14">
        <v>-4.0999999999999996</v>
      </c>
      <c r="F38" s="14">
        <v>0.03</v>
      </c>
      <c r="G38" s="14">
        <v>0.13</v>
      </c>
      <c r="H38" s="12">
        <v>23.6</v>
      </c>
      <c r="I38" s="12">
        <v>6.57</v>
      </c>
      <c r="J38" s="12">
        <v>90.409012500000003</v>
      </c>
      <c r="K38" s="12">
        <v>162</v>
      </c>
      <c r="L38" s="2">
        <f>(3.37+4.54+4.54)/3</f>
        <v>4.1499999999999995</v>
      </c>
      <c r="O38" s="2">
        <f t="shared" ca="1" si="2"/>
        <v>0.18604137600000001</v>
      </c>
      <c r="AA38" s="2">
        <f t="shared" si="3"/>
        <v>-8.8799999999999955</v>
      </c>
    </row>
    <row r="39" spans="1:27" ht="15.75" customHeight="1">
      <c r="A39" s="2" t="s">
        <v>42</v>
      </c>
      <c r="B39" s="3">
        <v>45062.475694444445</v>
      </c>
      <c r="C39" s="2" t="s">
        <v>119</v>
      </c>
      <c r="D39" s="14">
        <v>-2.6</v>
      </c>
      <c r="E39" s="14">
        <v>-0.2</v>
      </c>
      <c r="F39" s="14">
        <v>0.02</v>
      </c>
      <c r="G39" s="14">
        <v>0.16</v>
      </c>
      <c r="H39" s="12">
        <v>20.2</v>
      </c>
      <c r="I39" s="12">
        <v>24.8</v>
      </c>
      <c r="J39" s="12">
        <v>5.0468134999999998</v>
      </c>
      <c r="K39" s="12">
        <v>59</v>
      </c>
      <c r="L39" s="2">
        <f>(63.98+70.2+57.01+47)/4</f>
        <v>59.547499999999999</v>
      </c>
      <c r="O39" s="2">
        <f t="shared" ca="1" si="2"/>
        <v>0.70225663999999999</v>
      </c>
      <c r="AA39" s="2">
        <f t="shared" si="3"/>
        <v>-10.52</v>
      </c>
    </row>
    <row r="40" spans="1:27" ht="15.75" customHeight="1">
      <c r="A40" s="2" t="s">
        <v>40</v>
      </c>
      <c r="B40" s="3">
        <v>45062.489583333336</v>
      </c>
      <c r="C40" s="2" t="s">
        <v>118</v>
      </c>
      <c r="D40" s="14">
        <v>-2.4</v>
      </c>
      <c r="E40" s="14">
        <v>-0.4</v>
      </c>
      <c r="F40" s="14">
        <v>0.02</v>
      </c>
      <c r="G40" s="14">
        <v>0.09</v>
      </c>
      <c r="H40" s="12">
        <v>20.5</v>
      </c>
      <c r="I40" s="12">
        <v>71.099999999999994</v>
      </c>
      <c r="J40" s="12">
        <v>38.5924063</v>
      </c>
      <c r="K40" s="12">
        <v>76.099999999999994</v>
      </c>
      <c r="O40" s="2">
        <f t="shared" ca="1" si="2"/>
        <v>2.0133244799999996</v>
      </c>
      <c r="AA40" s="2">
        <f t="shared" si="3"/>
        <v>-8.8799999999999955</v>
      </c>
    </row>
    <row r="41" spans="1:27" ht="14">
      <c r="A41" s="2" t="s">
        <v>38</v>
      </c>
      <c r="B41" s="3">
        <v>45062.53125</v>
      </c>
      <c r="C41" s="2" t="s">
        <v>117</v>
      </c>
      <c r="D41" s="14">
        <v>-2.2999999999999998</v>
      </c>
      <c r="E41" s="14">
        <v>0.3</v>
      </c>
      <c r="F41" s="14">
        <v>0.01</v>
      </c>
      <c r="G41" s="14">
        <v>0.13</v>
      </c>
      <c r="H41" s="12">
        <v>22.9</v>
      </c>
      <c r="I41" s="12">
        <v>47.4</v>
      </c>
      <c r="J41" s="12">
        <v>7.9318059999999999</v>
      </c>
      <c r="K41" s="12">
        <v>48.2</v>
      </c>
      <c r="L41" s="2">
        <f>(5.15+2.28+1.74+7.04)/4</f>
        <v>4.0525000000000002</v>
      </c>
      <c r="O41" s="2">
        <f t="shared" ca="1" si="2"/>
        <v>1.3422163199999999</v>
      </c>
      <c r="AA41" s="2">
        <f t="shared" si="3"/>
        <v>-8.0599999999999952</v>
      </c>
    </row>
    <row r="42" spans="1:27" ht="15.75" customHeight="1">
      <c r="A42" s="2" t="s">
        <v>116</v>
      </c>
      <c r="B42" s="3">
        <v>45063.464583333334</v>
      </c>
      <c r="C42" s="2" t="s">
        <v>115</v>
      </c>
      <c r="D42" s="14">
        <v>-3</v>
      </c>
      <c r="E42" s="14">
        <v>-4.3</v>
      </c>
      <c r="F42" s="14">
        <v>0.04</v>
      </c>
      <c r="G42" s="14">
        <v>0.34</v>
      </c>
      <c r="H42" s="12">
        <v>19.3</v>
      </c>
      <c r="I42" s="12">
        <f>3.16</f>
        <v>3.16</v>
      </c>
      <c r="J42" s="16"/>
      <c r="K42" s="12">
        <v>57.5</v>
      </c>
      <c r="N42" s="2" t="s">
        <v>114</v>
      </c>
      <c r="O42" s="2">
        <f t="shared" ca="1" si="2"/>
        <v>8.9481088E-2</v>
      </c>
      <c r="AA42" s="2">
        <f t="shared" si="3"/>
        <v>-13.799999999999997</v>
      </c>
    </row>
    <row r="43" spans="1:27" ht="15.75" customHeight="1">
      <c r="A43" s="2" t="s">
        <v>45</v>
      </c>
      <c r="B43" s="3">
        <v>45063.486111111109</v>
      </c>
      <c r="C43" s="2" t="s">
        <v>113</v>
      </c>
      <c r="D43" s="14">
        <v>-2.6</v>
      </c>
      <c r="E43" s="14">
        <v>-3.8</v>
      </c>
      <c r="F43" s="14">
        <v>0.02</v>
      </c>
      <c r="G43" s="14">
        <v>0.1</v>
      </c>
      <c r="H43" s="2">
        <v>19.899999999999999</v>
      </c>
      <c r="I43" s="12">
        <v>11</v>
      </c>
      <c r="J43" s="12">
        <v>220.9997875</v>
      </c>
      <c r="K43" s="12">
        <v>55.7</v>
      </c>
      <c r="L43" s="2">
        <v>70</v>
      </c>
      <c r="M43" s="2" t="s">
        <v>112</v>
      </c>
      <c r="N43" s="2">
        <f>CORREL(K39:K151, E39:E151)</f>
        <v>0.36629403800823895</v>
      </c>
      <c r="O43" s="2">
        <f t="shared" ca="1" si="2"/>
        <v>0.31148480000000001</v>
      </c>
      <c r="AA43" s="2">
        <f t="shared" si="3"/>
        <v>-10.52</v>
      </c>
    </row>
    <row r="44" spans="1:27" ht="15.75" customHeight="1">
      <c r="A44" s="2" t="s">
        <v>32</v>
      </c>
      <c r="B44" s="3">
        <v>45077.614583333336</v>
      </c>
      <c r="C44" s="2" t="s">
        <v>111</v>
      </c>
      <c r="D44" s="14">
        <v>-0.5</v>
      </c>
      <c r="E44" s="14">
        <v>0.6</v>
      </c>
      <c r="F44" s="14">
        <v>0.05</v>
      </c>
      <c r="G44" s="14">
        <v>0.19</v>
      </c>
      <c r="H44" s="2">
        <v>29.4</v>
      </c>
      <c r="I44" s="12">
        <v>3.71</v>
      </c>
      <c r="J44" s="16">
        <v>3.6133109999999999</v>
      </c>
      <c r="K44" s="2">
        <v>45500</v>
      </c>
      <c r="L44" s="2">
        <v>0</v>
      </c>
      <c r="O44" s="2">
        <f t="shared" ca="1" si="2"/>
        <v>0.105055328</v>
      </c>
      <c r="AA44" s="2">
        <f t="shared" si="3"/>
        <v>6.7000000000000011</v>
      </c>
    </row>
    <row r="45" spans="1:27" ht="15.75" customHeight="1">
      <c r="A45" s="2" t="s">
        <v>30</v>
      </c>
      <c r="B45" s="3">
        <v>45077.625</v>
      </c>
      <c r="C45" s="2" t="s">
        <v>110</v>
      </c>
      <c r="D45" s="14">
        <v>-1.3</v>
      </c>
      <c r="E45" s="14">
        <v>-1.9</v>
      </c>
      <c r="F45" s="14">
        <v>0.03</v>
      </c>
      <c r="G45" s="14">
        <v>0.08</v>
      </c>
      <c r="H45" s="12">
        <v>30</v>
      </c>
      <c r="I45" s="12">
        <v>3.71</v>
      </c>
      <c r="J45" s="16">
        <v>84.355293799999998</v>
      </c>
      <c r="K45" s="12">
        <v>21570</v>
      </c>
      <c r="L45" s="2">
        <v>0</v>
      </c>
      <c r="O45" s="2">
        <f t="shared" ca="1" si="2"/>
        <v>0.105055328</v>
      </c>
      <c r="AA45" s="2">
        <f t="shared" si="3"/>
        <v>0.14000000000000057</v>
      </c>
    </row>
    <row r="46" spans="1:27" ht="15.75" customHeight="1">
      <c r="A46" s="2" t="s">
        <v>28</v>
      </c>
      <c r="B46" s="3">
        <v>45077.635416666664</v>
      </c>
      <c r="C46" s="2" t="s">
        <v>109</v>
      </c>
      <c r="D46" s="14">
        <v>-2.2999999999999998</v>
      </c>
      <c r="E46" s="14">
        <v>-4.4000000000000004</v>
      </c>
      <c r="F46" s="14">
        <v>0.01</v>
      </c>
      <c r="G46" s="14">
        <v>0.04</v>
      </c>
      <c r="H46" s="12">
        <v>27.7</v>
      </c>
      <c r="I46" s="12">
        <v>4.91</v>
      </c>
      <c r="J46" s="16">
        <v>10.847642499999999</v>
      </c>
      <c r="K46" s="12">
        <v>271.60000000000002</v>
      </c>
      <c r="L46" s="2">
        <v>0</v>
      </c>
      <c r="O46" s="2">
        <f t="shared" ca="1" si="2"/>
        <v>0.13903548800000001</v>
      </c>
      <c r="AA46" s="2">
        <f t="shared" si="3"/>
        <v>-8.0599999999999952</v>
      </c>
    </row>
    <row r="47" spans="1:27" ht="15.75" customHeight="1">
      <c r="A47" s="2" t="s">
        <v>34</v>
      </c>
      <c r="B47" s="3">
        <v>45077.651388888888</v>
      </c>
      <c r="C47" s="2" t="s">
        <v>108</v>
      </c>
      <c r="D47" s="14">
        <v>-2.4</v>
      </c>
      <c r="E47" s="14">
        <v>-4.9000000000000004</v>
      </c>
      <c r="F47" s="14">
        <v>0.03</v>
      </c>
      <c r="G47" s="14">
        <v>0.13</v>
      </c>
      <c r="H47" s="12">
        <v>24.5</v>
      </c>
      <c r="I47" s="12">
        <v>4.71</v>
      </c>
      <c r="J47" s="16">
        <v>20.892555000000002</v>
      </c>
      <c r="K47" s="12">
        <v>43.7</v>
      </c>
      <c r="O47" s="2">
        <f t="shared" ca="1" si="2"/>
        <v>0.13337212800000001</v>
      </c>
      <c r="AA47" s="2">
        <f t="shared" si="3"/>
        <v>-8.8799999999999955</v>
      </c>
    </row>
    <row r="48" spans="1:27" ht="15.75" customHeight="1">
      <c r="A48" s="2" t="s">
        <v>36</v>
      </c>
      <c r="B48" s="3">
        <v>45078.604166666664</v>
      </c>
      <c r="C48" s="2" t="s">
        <v>107</v>
      </c>
      <c r="D48" s="14">
        <v>-2.4</v>
      </c>
      <c r="E48" s="14">
        <v>-5.4</v>
      </c>
      <c r="F48" s="14">
        <v>0.01</v>
      </c>
      <c r="G48" s="14">
        <v>0.21</v>
      </c>
      <c r="H48" s="12">
        <v>24.4</v>
      </c>
      <c r="I48" s="12">
        <v>5.12</v>
      </c>
      <c r="J48" s="16">
        <v>2.1695280000000001</v>
      </c>
      <c r="K48" s="12">
        <v>75</v>
      </c>
      <c r="L48" s="2">
        <f>(8.06+5.17)/2</f>
        <v>6.6150000000000002</v>
      </c>
      <c r="O48" s="2">
        <f t="shared" ca="1" si="2"/>
        <v>0.14498201599999999</v>
      </c>
      <c r="AA48" s="2">
        <f t="shared" si="3"/>
        <v>-8.8799999999999955</v>
      </c>
    </row>
    <row r="49" spans="1:27" ht="15.75" customHeight="1">
      <c r="A49" s="2" t="s">
        <v>26</v>
      </c>
      <c r="B49" s="3">
        <v>45078.614583333336</v>
      </c>
      <c r="C49" s="2" t="s">
        <v>106</v>
      </c>
      <c r="D49" s="14">
        <v>-2.2999999999999998</v>
      </c>
      <c r="E49" s="14">
        <v>-4</v>
      </c>
      <c r="F49" s="14">
        <v>0.03</v>
      </c>
      <c r="G49" s="14">
        <v>0.14000000000000001</v>
      </c>
      <c r="H49" s="12">
        <v>25.3</v>
      </c>
      <c r="I49" s="12">
        <v>5.12</v>
      </c>
      <c r="J49" s="16">
        <v>71.179063799999994</v>
      </c>
      <c r="K49" s="12">
        <v>157</v>
      </c>
      <c r="L49" s="2">
        <f>(3.37+4.54+4.54)/3</f>
        <v>4.1499999999999995</v>
      </c>
      <c r="O49" s="2">
        <f t="shared" ca="1" si="2"/>
        <v>0.14498201599999999</v>
      </c>
      <c r="AA49" s="2">
        <f t="shared" si="3"/>
        <v>-8.0599999999999952</v>
      </c>
    </row>
    <row r="50" spans="1:27" ht="15.75" customHeight="1">
      <c r="A50" s="2" t="s">
        <v>38</v>
      </c>
      <c r="B50" s="3">
        <v>45078.627083333333</v>
      </c>
      <c r="C50" s="2" t="s">
        <v>105</v>
      </c>
      <c r="D50" s="14">
        <v>-2.2999999999999998</v>
      </c>
      <c r="E50" s="14">
        <v>-4.0999999999999996</v>
      </c>
      <c r="F50" s="14">
        <v>0.02</v>
      </c>
      <c r="G50" s="14">
        <v>7.0000000000000007E-2</v>
      </c>
      <c r="H50" s="12">
        <v>23.9</v>
      </c>
      <c r="I50" s="12">
        <v>9.52</v>
      </c>
      <c r="J50" s="16">
        <v>22.4030448</v>
      </c>
      <c r="K50" s="12">
        <v>145.80000000000001</v>
      </c>
      <c r="L50" s="2">
        <f>(5.15+2.28+1.74+7.04)/4</f>
        <v>4.0525000000000002</v>
      </c>
      <c r="O50" s="2">
        <f t="shared" ca="1" si="2"/>
        <v>0.26957593599999996</v>
      </c>
      <c r="AA50" s="2">
        <f t="shared" si="3"/>
        <v>-8.0599999999999952</v>
      </c>
    </row>
    <row r="51" spans="1:27" ht="15.75" customHeight="1">
      <c r="A51" s="2" t="s">
        <v>40</v>
      </c>
      <c r="B51" s="3">
        <v>45078.638194444444</v>
      </c>
      <c r="C51" s="2" t="s">
        <v>104</v>
      </c>
      <c r="D51" s="14">
        <v>-2.1</v>
      </c>
      <c r="E51" s="14">
        <v>-3.1</v>
      </c>
      <c r="F51" s="14">
        <v>0.02</v>
      </c>
      <c r="G51" s="14">
        <v>0.06</v>
      </c>
      <c r="H51" s="12">
        <v>23.4</v>
      </c>
      <c r="I51" s="12">
        <v>10.1</v>
      </c>
      <c r="J51" s="16">
        <v>54.950360000000003</v>
      </c>
      <c r="K51" s="12">
        <v>108</v>
      </c>
      <c r="O51" s="2">
        <f t="shared" ca="1" si="2"/>
        <v>0.28599967999999998</v>
      </c>
      <c r="AA51" s="2">
        <f t="shared" si="3"/>
        <v>-6.4199999999999982</v>
      </c>
    </row>
    <row r="52" spans="1:27" ht="15.75" customHeight="1">
      <c r="A52" s="2" t="s">
        <v>42</v>
      </c>
      <c r="B52" s="15">
        <v>45079.39166666667</v>
      </c>
      <c r="C52" s="2" t="s">
        <v>103</v>
      </c>
      <c r="D52" s="14">
        <v>-2.5</v>
      </c>
      <c r="E52" s="14">
        <v>-4.2</v>
      </c>
      <c r="F52" s="14">
        <v>0.06</v>
      </c>
      <c r="G52" s="14">
        <v>0.3</v>
      </c>
      <c r="H52" s="12">
        <v>21.1</v>
      </c>
      <c r="I52" s="12">
        <v>8.7200000000000006</v>
      </c>
      <c r="J52" s="16">
        <v>5.7854097500000004</v>
      </c>
      <c r="K52" s="12">
        <v>85.6</v>
      </c>
      <c r="L52" s="2">
        <f>(63.98+70.2+57.01+47)/4</f>
        <v>59.547499999999999</v>
      </c>
      <c r="O52" s="2">
        <f t="shared" ca="1" si="2"/>
        <v>0.24692249600000002</v>
      </c>
      <c r="AA52" s="2">
        <f t="shared" si="3"/>
        <v>-9.6999999999999993</v>
      </c>
    </row>
    <row r="53" spans="1:27" ht="15.75" customHeight="1">
      <c r="A53" s="2" t="s">
        <v>45</v>
      </c>
      <c r="B53" s="15">
        <v>45079.416666666664</v>
      </c>
      <c r="C53" s="2" t="s">
        <v>102</v>
      </c>
      <c r="D53" s="14">
        <v>-2.5</v>
      </c>
      <c r="E53" s="14">
        <v>-4.2</v>
      </c>
      <c r="F53" s="14">
        <v>0.04</v>
      </c>
      <c r="G53" s="14">
        <v>0.12</v>
      </c>
      <c r="H53" s="2">
        <v>20.5</v>
      </c>
      <c r="I53" s="12">
        <v>8.4600000000000009</v>
      </c>
      <c r="J53" s="16">
        <v>360.36914999999999</v>
      </c>
      <c r="K53" s="12">
        <v>83</v>
      </c>
      <c r="L53" s="2">
        <v>70</v>
      </c>
      <c r="M53" s="2" t="s">
        <v>101</v>
      </c>
      <c r="N53" s="2">
        <f>CORREL(L49:L160, E49:E160)</f>
        <v>-7.1072971628968723E-2</v>
      </c>
      <c r="O53" s="2">
        <f t="shared" ca="1" si="2"/>
        <v>0.23956012800000001</v>
      </c>
      <c r="AA53" s="2">
        <f t="shared" si="3"/>
        <v>-9.6999999999999993</v>
      </c>
    </row>
    <row r="54" spans="1:27" ht="15.75" customHeight="1">
      <c r="A54" s="2" t="s">
        <v>32</v>
      </c>
      <c r="B54" s="3">
        <v>45121.420138888891</v>
      </c>
      <c r="C54" s="2" t="s">
        <v>100</v>
      </c>
      <c r="D54" s="14">
        <v>-0.3</v>
      </c>
      <c r="E54" s="14">
        <v>1.2</v>
      </c>
      <c r="F54" s="14">
        <v>0.04</v>
      </c>
      <c r="G54" s="14">
        <v>0.09</v>
      </c>
      <c r="H54" s="2">
        <v>26.9</v>
      </c>
      <c r="I54" s="12">
        <v>3.16</v>
      </c>
      <c r="J54" s="16">
        <v>7.9097549999999996</v>
      </c>
      <c r="K54" s="2">
        <v>44289</v>
      </c>
      <c r="L54" s="2">
        <v>0</v>
      </c>
      <c r="O54" s="2">
        <f t="shared" ca="1" si="2"/>
        <v>8.9481088E-2</v>
      </c>
      <c r="AA54" s="2">
        <f t="shared" si="3"/>
        <v>8.3400000000000016</v>
      </c>
    </row>
    <row r="55" spans="1:27" ht="15.75" customHeight="1">
      <c r="A55" s="2" t="s">
        <v>30</v>
      </c>
      <c r="B55" s="3">
        <v>45121.4375</v>
      </c>
      <c r="C55" s="2" t="s">
        <v>99</v>
      </c>
      <c r="D55" s="14">
        <v>-1.6</v>
      </c>
      <c r="E55" s="14">
        <v>-2.6</v>
      </c>
      <c r="F55" s="14">
        <v>0.02</v>
      </c>
      <c r="G55" s="14">
        <v>0.05</v>
      </c>
      <c r="H55" s="12">
        <v>27</v>
      </c>
      <c r="I55" s="12">
        <v>3.16</v>
      </c>
      <c r="J55" s="16">
        <v>102.93104</v>
      </c>
      <c r="K55" s="12">
        <v>15600</v>
      </c>
      <c r="L55" s="2">
        <v>0</v>
      </c>
      <c r="O55" s="2">
        <f t="shared" ca="1" si="2"/>
        <v>8.9481088E-2</v>
      </c>
      <c r="AA55" s="2">
        <f t="shared" si="3"/>
        <v>-2.3199999999999985</v>
      </c>
    </row>
    <row r="56" spans="1:27" ht="15.75" customHeight="1">
      <c r="A56" s="2" t="s">
        <v>28</v>
      </c>
      <c r="B56" s="3">
        <v>45121.458333333336</v>
      </c>
      <c r="C56" s="2" t="s">
        <v>98</v>
      </c>
      <c r="D56" s="14">
        <v>-2.2999999999999998</v>
      </c>
      <c r="E56" s="14">
        <v>-4.5999999999999996</v>
      </c>
      <c r="F56" s="14">
        <v>0.03</v>
      </c>
      <c r="G56" s="14">
        <v>0.13</v>
      </c>
      <c r="H56" s="12">
        <v>26</v>
      </c>
      <c r="I56" s="12">
        <v>3.16</v>
      </c>
      <c r="J56" s="16">
        <v>3.95722</v>
      </c>
      <c r="K56" s="12">
        <v>225</v>
      </c>
      <c r="L56" s="2">
        <v>0</v>
      </c>
      <c r="O56" s="2">
        <f t="shared" ca="1" si="2"/>
        <v>8.9481088E-2</v>
      </c>
      <c r="AA56" s="2">
        <f t="shared" si="3"/>
        <v>-8.0599999999999952</v>
      </c>
    </row>
    <row r="57" spans="1:27" ht="16">
      <c r="A57" s="2" t="s">
        <v>34</v>
      </c>
      <c r="B57" s="3">
        <v>45121.479166666664</v>
      </c>
      <c r="C57" s="2" t="s">
        <v>97</v>
      </c>
      <c r="D57" s="14">
        <v>-2.2999999999999998</v>
      </c>
      <c r="E57" s="14">
        <v>-4.7</v>
      </c>
      <c r="F57" s="14">
        <v>0.02</v>
      </c>
      <c r="G57" s="14">
        <v>0.13</v>
      </c>
      <c r="H57" s="12">
        <v>23.7</v>
      </c>
      <c r="I57" s="12">
        <v>3.16</v>
      </c>
      <c r="J57" s="16">
        <v>13.159763999999999</v>
      </c>
      <c r="K57" s="12">
        <v>190.2</v>
      </c>
      <c r="O57" s="2">
        <f t="shared" ca="1" si="2"/>
        <v>8.9481088E-2</v>
      </c>
      <c r="AA57" s="2">
        <f t="shared" si="3"/>
        <v>-8.0599999999999952</v>
      </c>
    </row>
    <row r="58" spans="1:27" ht="12.75" customHeight="1">
      <c r="A58" s="2" t="s">
        <v>40</v>
      </c>
      <c r="B58" s="15">
        <v>45124.368055555555</v>
      </c>
      <c r="C58" s="2" t="s">
        <v>96</v>
      </c>
      <c r="D58" s="14">
        <v>-2.6</v>
      </c>
      <c r="E58" s="14">
        <v>-5.3</v>
      </c>
      <c r="F58" s="14">
        <v>0.02</v>
      </c>
      <c r="G58" s="14">
        <v>0.15</v>
      </c>
      <c r="H58" s="12">
        <v>22</v>
      </c>
      <c r="I58" s="12">
        <v>2.98</v>
      </c>
      <c r="J58" s="16">
        <v>19.781412499999998</v>
      </c>
      <c r="K58" s="12">
        <v>160</v>
      </c>
      <c r="O58" s="2">
        <f t="shared" ca="1" si="2"/>
        <v>8.4384063999999995E-2</v>
      </c>
      <c r="AA58" s="2">
        <f t="shared" si="3"/>
        <v>-10.52</v>
      </c>
    </row>
    <row r="59" spans="1:27" ht="12.75" customHeight="1">
      <c r="A59" s="2" t="s">
        <v>38</v>
      </c>
      <c r="B59" s="15">
        <v>45124.375</v>
      </c>
      <c r="C59" s="2" t="s">
        <v>95</v>
      </c>
      <c r="D59" s="14">
        <v>-2.4</v>
      </c>
      <c r="E59" s="14">
        <v>-4.5999999999999996</v>
      </c>
      <c r="F59" s="14">
        <v>0.02</v>
      </c>
      <c r="G59" s="14">
        <v>0.04</v>
      </c>
      <c r="H59" s="12">
        <v>22.7</v>
      </c>
      <c r="I59" s="12">
        <v>2.98</v>
      </c>
      <c r="J59" s="16">
        <v>36.374621300000001</v>
      </c>
      <c r="K59" s="12">
        <v>171.3</v>
      </c>
      <c r="L59" s="2">
        <f>(5.15+2.28+1.74+7.04)/4</f>
        <v>4.0525000000000002</v>
      </c>
      <c r="O59" s="2">
        <f t="shared" ca="1" si="2"/>
        <v>8.4384063999999995E-2</v>
      </c>
      <c r="AA59" s="2">
        <f t="shared" si="3"/>
        <v>-8.8799999999999955</v>
      </c>
    </row>
    <row r="60" spans="1:27" ht="16">
      <c r="A60" s="2" t="s">
        <v>26</v>
      </c>
      <c r="B60" s="15">
        <v>45124.386805555558</v>
      </c>
      <c r="C60" s="2" t="s">
        <v>94</v>
      </c>
      <c r="D60" s="14">
        <v>-2.4</v>
      </c>
      <c r="E60" s="14">
        <v>-4.5999999999999996</v>
      </c>
      <c r="F60" s="14">
        <v>0.01</v>
      </c>
      <c r="G60" s="14">
        <v>7.0000000000000007E-2</v>
      </c>
      <c r="H60" s="12">
        <v>23.1</v>
      </c>
      <c r="I60" s="12">
        <v>2.98</v>
      </c>
      <c r="J60" s="16">
        <v>64.622857499999995</v>
      </c>
      <c r="K60" s="12">
        <v>174.8</v>
      </c>
      <c r="L60" s="2">
        <f>(3.37+4.54+4.54)/3</f>
        <v>4.1499999999999995</v>
      </c>
      <c r="O60" s="2">
        <f t="shared" ca="1" si="2"/>
        <v>8.4384063999999995E-2</v>
      </c>
      <c r="AA60" s="2">
        <f t="shared" si="3"/>
        <v>-8.8799999999999955</v>
      </c>
    </row>
    <row r="61" spans="1:27" ht="12.75" customHeight="1">
      <c r="A61" s="2" t="s">
        <v>36</v>
      </c>
      <c r="B61" s="15">
        <v>45124.40625</v>
      </c>
      <c r="C61" s="2" t="s">
        <v>93</v>
      </c>
      <c r="D61" s="14">
        <v>-2.2999999999999998</v>
      </c>
      <c r="E61" s="14">
        <v>-4.4000000000000004</v>
      </c>
      <c r="F61" s="14">
        <v>0.02</v>
      </c>
      <c r="G61" s="14">
        <v>0.12</v>
      </c>
      <c r="H61" s="12">
        <v>23.1</v>
      </c>
      <c r="I61" s="12">
        <v>2.98</v>
      </c>
      <c r="J61" s="16">
        <v>5.4187269999999996</v>
      </c>
      <c r="K61" s="12">
        <v>183.1</v>
      </c>
      <c r="L61" s="2">
        <f>(8.06+5.17)/2</f>
        <v>6.6150000000000002</v>
      </c>
      <c r="O61" s="2">
        <f t="shared" ca="1" si="2"/>
        <v>8.4384063999999995E-2</v>
      </c>
      <c r="AA61" s="2">
        <f t="shared" si="3"/>
        <v>-8.0599999999999952</v>
      </c>
    </row>
    <row r="62" spans="1:27" ht="16">
      <c r="A62" s="2" t="s">
        <v>45</v>
      </c>
      <c r="B62" s="3">
        <v>45125.416666666664</v>
      </c>
      <c r="C62" s="2" t="s">
        <v>92</v>
      </c>
      <c r="D62" s="14">
        <v>-2.5</v>
      </c>
      <c r="E62" s="14">
        <v>-4.8</v>
      </c>
      <c r="F62" s="14">
        <v>0.01</v>
      </c>
      <c r="G62" s="14">
        <v>0.17</v>
      </c>
      <c r="H62" s="2">
        <v>21.7</v>
      </c>
      <c r="I62" s="12">
        <v>3.71</v>
      </c>
      <c r="J62" s="16">
        <v>26.367405000000002</v>
      </c>
      <c r="K62" s="12">
        <v>103.4</v>
      </c>
      <c r="L62" s="2">
        <v>70</v>
      </c>
      <c r="M62" s="2" t="s">
        <v>91</v>
      </c>
      <c r="N62" s="2">
        <f>CORREL(D56:D168, H56:H168)</f>
        <v>0.60114243307941961</v>
      </c>
      <c r="O62" s="2">
        <f t="shared" ca="1" si="2"/>
        <v>0.105055328</v>
      </c>
      <c r="AA62" s="2">
        <f t="shared" si="3"/>
        <v>-9.6999999999999993</v>
      </c>
    </row>
    <row r="63" spans="1:27" ht="12.75" customHeight="1">
      <c r="A63" s="2" t="s">
        <v>42</v>
      </c>
      <c r="B63" s="3">
        <v>45125.447916666664</v>
      </c>
      <c r="C63" s="2" t="s">
        <v>90</v>
      </c>
      <c r="D63" s="14">
        <v>-2.2999999999999998</v>
      </c>
      <c r="E63" s="14">
        <v>-4.0999999999999996</v>
      </c>
      <c r="F63" s="14">
        <v>0.01</v>
      </c>
      <c r="G63" s="14">
        <v>0.13</v>
      </c>
      <c r="H63" s="12">
        <v>22.3</v>
      </c>
      <c r="I63" s="12">
        <v>3.52</v>
      </c>
      <c r="J63" s="16">
        <v>215.840238</v>
      </c>
      <c r="K63" s="12">
        <v>153</v>
      </c>
      <c r="L63" s="2">
        <f>(63.98+70.2+57.01+47)/4</f>
        <v>59.547499999999999</v>
      </c>
      <c r="O63" s="2">
        <f t="shared" ca="1" si="2"/>
        <v>9.9675135999999998E-2</v>
      </c>
      <c r="AA63" s="2">
        <f t="shared" si="3"/>
        <v>-8.0599999999999952</v>
      </c>
    </row>
    <row r="64" spans="1:27" ht="12.75" customHeight="1">
      <c r="A64" s="2" t="s">
        <v>32</v>
      </c>
      <c r="B64" s="3">
        <v>45152.589583333334</v>
      </c>
      <c r="C64" s="2" t="s">
        <v>89</v>
      </c>
      <c r="D64" s="14">
        <v>-0.3</v>
      </c>
      <c r="E64" s="14">
        <v>0.3</v>
      </c>
      <c r="F64" s="14">
        <v>0</v>
      </c>
      <c r="G64" s="14">
        <v>0.11</v>
      </c>
      <c r="H64" s="12">
        <v>29.4</v>
      </c>
      <c r="I64" s="12">
        <v>3.89</v>
      </c>
      <c r="J64" s="16">
        <v>83.050068800000005</v>
      </c>
      <c r="K64" s="12">
        <v>39250</v>
      </c>
      <c r="L64" s="2">
        <v>0</v>
      </c>
      <c r="O64" s="2">
        <f t="shared" ca="1" si="2"/>
        <v>0.11015235200000001</v>
      </c>
      <c r="AA64" s="2">
        <f t="shared" si="3"/>
        <v>8.3400000000000016</v>
      </c>
    </row>
    <row r="65" spans="1:27" ht="16">
      <c r="A65" s="2" t="s">
        <v>30</v>
      </c>
      <c r="B65" s="3">
        <v>45152.606249999997</v>
      </c>
      <c r="C65" s="2" t="s">
        <v>88</v>
      </c>
      <c r="D65" s="14">
        <v>-1.2</v>
      </c>
      <c r="E65" s="14">
        <v>-2.1</v>
      </c>
      <c r="F65" s="14">
        <v>0.02</v>
      </c>
      <c r="G65" s="14">
        <v>0.13</v>
      </c>
      <c r="H65" s="12">
        <v>30.2</v>
      </c>
      <c r="I65" s="12">
        <v>6.55</v>
      </c>
      <c r="J65" s="16">
        <v>129.97795500000001</v>
      </c>
      <c r="K65" s="12">
        <v>25700</v>
      </c>
      <c r="L65" s="2">
        <v>0</v>
      </c>
      <c r="O65" s="2">
        <f t="shared" ref="O65:O96" ca="1" si="4">I65*$O$2</f>
        <v>0.18547503999999998</v>
      </c>
      <c r="AA65" s="2">
        <f t="shared" si="3"/>
        <v>0.96000000000000263</v>
      </c>
    </row>
    <row r="66" spans="1:27" ht="16">
      <c r="A66" s="2" t="s">
        <v>28</v>
      </c>
      <c r="B66" s="3">
        <v>45152.62222222222</v>
      </c>
      <c r="C66" s="2" t="s">
        <v>87</v>
      </c>
      <c r="D66" s="14">
        <v>-2.2999999999999998</v>
      </c>
      <c r="E66" s="14">
        <v>-5.3</v>
      </c>
      <c r="F66" s="14">
        <v>0.03</v>
      </c>
      <c r="G66" s="14">
        <v>0.08</v>
      </c>
      <c r="H66" s="12">
        <v>28.1</v>
      </c>
      <c r="I66" s="12">
        <v>6.55</v>
      </c>
      <c r="J66" s="16">
        <v>52.617071299999999</v>
      </c>
      <c r="K66" s="12">
        <v>281.2</v>
      </c>
      <c r="L66" s="2">
        <v>0</v>
      </c>
      <c r="O66" s="2">
        <f t="shared" ca="1" si="4"/>
        <v>0.18547503999999998</v>
      </c>
      <c r="AA66" s="2">
        <f t="shared" si="3"/>
        <v>-8.0599999999999952</v>
      </c>
    </row>
    <row r="67" spans="1:27" ht="16">
      <c r="A67" s="2" t="s">
        <v>34</v>
      </c>
      <c r="B67" s="3">
        <v>45152.642361111109</v>
      </c>
      <c r="C67" s="2" t="s">
        <v>86</v>
      </c>
      <c r="D67" s="14">
        <v>-2.5</v>
      </c>
      <c r="E67" s="14">
        <v>-6</v>
      </c>
      <c r="F67" s="14">
        <v>0.01</v>
      </c>
      <c r="G67" s="14">
        <v>0.1</v>
      </c>
      <c r="H67" s="12">
        <v>24.7</v>
      </c>
      <c r="I67" s="12">
        <v>5.05</v>
      </c>
      <c r="J67" s="16">
        <v>10.5525863</v>
      </c>
      <c r="K67" s="12">
        <v>192.1</v>
      </c>
      <c r="O67" s="2">
        <f t="shared" ca="1" si="4"/>
        <v>0.14299983999999999</v>
      </c>
      <c r="AA67" s="2">
        <f t="shared" ref="AA67:AA98" si="5">8.2*D67+10.8</f>
        <v>-9.6999999999999993</v>
      </c>
    </row>
    <row r="68" spans="1:27" ht="12.75" customHeight="1">
      <c r="A68" s="2" t="s">
        <v>40</v>
      </c>
      <c r="B68" s="3">
        <v>45153.461805555555</v>
      </c>
      <c r="C68" s="2" t="s">
        <v>85</v>
      </c>
      <c r="D68" s="14">
        <v>-2.8</v>
      </c>
      <c r="E68" s="14">
        <v>-7.5</v>
      </c>
      <c r="F68" s="14">
        <v>0.04</v>
      </c>
      <c r="G68" s="14">
        <v>0.28999999999999998</v>
      </c>
      <c r="H68" s="12">
        <v>23.1</v>
      </c>
      <c r="I68" s="12">
        <v>3.01</v>
      </c>
      <c r="J68" s="16">
        <v>6.5906799999999999</v>
      </c>
      <c r="K68" s="12">
        <v>157.19999999999999</v>
      </c>
      <c r="O68" s="2">
        <f t="shared" ca="1" si="4"/>
        <v>8.5233567999999996E-2</v>
      </c>
      <c r="AA68" s="2">
        <f t="shared" si="5"/>
        <v>-12.159999999999997</v>
      </c>
    </row>
    <row r="69" spans="1:27" ht="12.75" customHeight="1">
      <c r="A69" s="2" t="s">
        <v>38</v>
      </c>
      <c r="B69" s="3">
        <v>45153.475694444445</v>
      </c>
      <c r="C69" s="2" t="s">
        <v>84</v>
      </c>
      <c r="D69" s="14">
        <v>-2.4</v>
      </c>
      <c r="E69" s="14">
        <v>-5.0999999999999996</v>
      </c>
      <c r="F69" s="14">
        <v>0.01</v>
      </c>
      <c r="G69" s="14">
        <v>0.08</v>
      </c>
      <c r="H69" s="12">
        <v>24.2</v>
      </c>
      <c r="I69" s="12">
        <v>3.35</v>
      </c>
      <c r="J69" s="16">
        <v>112.96968</v>
      </c>
      <c r="K69" s="12">
        <v>97.5</v>
      </c>
      <c r="L69" s="2">
        <f>(5.15+2.28+1.74+7.04)/4</f>
        <v>4.0525000000000002</v>
      </c>
      <c r="O69" s="2">
        <f t="shared" ca="1" si="4"/>
        <v>9.4861280000000006E-2</v>
      </c>
      <c r="AA69" s="2">
        <f t="shared" si="5"/>
        <v>-8.8799999999999955</v>
      </c>
    </row>
    <row r="70" spans="1:27" ht="12.75" customHeight="1">
      <c r="A70" s="2" t="s">
        <v>26</v>
      </c>
      <c r="B70" s="3">
        <v>45153.489583333336</v>
      </c>
      <c r="C70" s="2" t="s">
        <v>83</v>
      </c>
      <c r="D70" s="14">
        <v>-2.4</v>
      </c>
      <c r="E70" s="14">
        <v>-5.3</v>
      </c>
      <c r="F70" s="14">
        <v>0.03</v>
      </c>
      <c r="G70" s="14">
        <v>0.17</v>
      </c>
      <c r="H70" s="12">
        <v>26.6</v>
      </c>
      <c r="I70" s="12">
        <v>3.35</v>
      </c>
      <c r="J70" s="16">
        <v>11.866975</v>
      </c>
      <c r="K70" s="12">
        <v>164.7</v>
      </c>
      <c r="L70" s="2">
        <f>(3.37+4.54+4.54)/3</f>
        <v>4.1499999999999995</v>
      </c>
      <c r="O70" s="2">
        <f t="shared" ca="1" si="4"/>
        <v>9.4861280000000006E-2</v>
      </c>
      <c r="AA70" s="2">
        <f t="shared" si="5"/>
        <v>-8.8799999999999955</v>
      </c>
    </row>
    <row r="71" spans="1:27" ht="16">
      <c r="A71" s="2" t="s">
        <v>36</v>
      </c>
      <c r="B71" s="3">
        <v>45153.504166666666</v>
      </c>
      <c r="C71" s="2" t="s">
        <v>82</v>
      </c>
      <c r="D71" s="14">
        <v>-2.4</v>
      </c>
      <c r="E71" s="14">
        <v>-5.2</v>
      </c>
      <c r="F71" s="14">
        <v>0.03</v>
      </c>
      <c r="G71" s="14">
        <v>0.11</v>
      </c>
      <c r="H71" s="12">
        <v>24.3</v>
      </c>
      <c r="I71" s="12">
        <v>3.35</v>
      </c>
      <c r="J71" s="16">
        <v>20.895297800000002</v>
      </c>
      <c r="K71" s="12">
        <v>105.2</v>
      </c>
      <c r="L71" s="2">
        <f>(8.06+5.17)/2</f>
        <v>6.6150000000000002</v>
      </c>
      <c r="O71" s="2">
        <f t="shared" ca="1" si="4"/>
        <v>9.4861280000000006E-2</v>
      </c>
      <c r="AA71" s="2">
        <f t="shared" si="5"/>
        <v>-8.8799999999999955</v>
      </c>
    </row>
    <row r="72" spans="1:27" ht="16">
      <c r="A72" s="2" t="s">
        <v>45</v>
      </c>
      <c r="B72" s="3">
        <v>45154.555555555555</v>
      </c>
      <c r="C72" s="2" t="s">
        <v>81</v>
      </c>
      <c r="D72" s="14">
        <v>-2.7</v>
      </c>
      <c r="E72" s="14">
        <v>-6.6</v>
      </c>
      <c r="F72" s="14">
        <v>0.02</v>
      </c>
      <c r="G72" s="14">
        <v>0.05</v>
      </c>
      <c r="H72" s="12">
        <v>22.6</v>
      </c>
      <c r="I72" s="12">
        <v>6.55</v>
      </c>
      <c r="J72" s="16">
        <v>3.95722</v>
      </c>
      <c r="K72" s="12">
        <v>98.5</v>
      </c>
      <c r="L72" s="2">
        <v>70</v>
      </c>
      <c r="M72" s="2" t="s">
        <v>80</v>
      </c>
      <c r="N72" s="2">
        <f>CORREL(D65:D177, I65:I177)</f>
        <v>-0.57897960437007867</v>
      </c>
      <c r="O72" s="2">
        <f t="shared" ca="1" si="4"/>
        <v>0.18547503999999998</v>
      </c>
      <c r="AA72" s="2">
        <f t="shared" si="5"/>
        <v>-11.34</v>
      </c>
    </row>
    <row r="73" spans="1:27" ht="16">
      <c r="A73" s="2" t="s">
        <v>42</v>
      </c>
      <c r="B73" s="3">
        <v>45154.579861111109</v>
      </c>
      <c r="C73" s="2" t="s">
        <v>79</v>
      </c>
      <c r="D73" s="14">
        <v>-2.4</v>
      </c>
      <c r="E73" s="14">
        <v>-5.2</v>
      </c>
      <c r="F73" s="14">
        <v>0.02</v>
      </c>
      <c r="G73" s="14">
        <v>0.06</v>
      </c>
      <c r="H73" s="12">
        <v>23.3</v>
      </c>
      <c r="I73" s="12">
        <v>6.33</v>
      </c>
      <c r="J73" s="16">
        <v>213.6653</v>
      </c>
      <c r="K73" s="12">
        <v>75.900000000000006</v>
      </c>
      <c r="L73" s="2">
        <f>(63.98+70.2+57.01+47)/4</f>
        <v>59.547499999999999</v>
      </c>
      <c r="O73" s="2">
        <f t="shared" ca="1" si="4"/>
        <v>0.179245344</v>
      </c>
      <c r="AA73" s="2">
        <f t="shared" si="5"/>
        <v>-8.8799999999999955</v>
      </c>
    </row>
    <row r="74" spans="1:27" ht="14">
      <c r="A74" s="2" t="s">
        <v>32</v>
      </c>
      <c r="B74" s="3">
        <v>45175.606249999997</v>
      </c>
      <c r="C74" s="2" t="s">
        <v>78</v>
      </c>
      <c r="D74" s="14">
        <v>-0.4</v>
      </c>
      <c r="E74" s="14">
        <v>0.4</v>
      </c>
      <c r="F74" s="14">
        <v>0.05</v>
      </c>
      <c r="G74" s="14">
        <v>0.22</v>
      </c>
      <c r="H74" s="12">
        <v>30.2</v>
      </c>
      <c r="I74" s="12">
        <v>4.45</v>
      </c>
      <c r="J74" s="12">
        <v>8.6755458000000001</v>
      </c>
      <c r="K74" s="12">
        <v>40844</v>
      </c>
      <c r="L74" s="2">
        <v>0</v>
      </c>
      <c r="O74" s="2">
        <f t="shared" ca="1" si="4"/>
        <v>0.12600976</v>
      </c>
      <c r="AA74" s="2">
        <f t="shared" si="5"/>
        <v>7.5200000000000014</v>
      </c>
    </row>
    <row r="75" spans="1:27" ht="12.75" customHeight="1">
      <c r="A75" s="2" t="s">
        <v>30</v>
      </c>
      <c r="B75" s="3">
        <v>45175.631944444445</v>
      </c>
      <c r="C75" s="2" t="s">
        <v>77</v>
      </c>
      <c r="D75" s="14">
        <v>-0.9</v>
      </c>
      <c r="E75" s="14">
        <v>-1.2</v>
      </c>
      <c r="F75" s="14">
        <v>0.06</v>
      </c>
      <c r="G75" s="14">
        <v>0.18</v>
      </c>
      <c r="H75" s="12">
        <v>32.4</v>
      </c>
      <c r="I75" s="12">
        <v>4.45</v>
      </c>
      <c r="J75" s="16">
        <v>67.311291299999993</v>
      </c>
      <c r="K75" s="12">
        <v>30255</v>
      </c>
      <c r="L75" s="2">
        <v>0</v>
      </c>
      <c r="O75" s="2">
        <f t="shared" ca="1" si="4"/>
        <v>0.12600976</v>
      </c>
      <c r="AA75" s="2">
        <f t="shared" si="5"/>
        <v>3.4200000000000008</v>
      </c>
    </row>
    <row r="76" spans="1:27" ht="15.75" customHeight="1">
      <c r="A76" s="2" t="s">
        <v>28</v>
      </c>
      <c r="B76" s="15">
        <v>45176.5625</v>
      </c>
      <c r="C76" s="2" t="s">
        <v>76</v>
      </c>
      <c r="D76" s="14">
        <v>-2.4</v>
      </c>
      <c r="E76" s="14">
        <v>-5.5</v>
      </c>
      <c r="F76" s="14">
        <v>0.03</v>
      </c>
      <c r="G76" s="14">
        <v>7.0000000000000007E-2</v>
      </c>
      <c r="H76" s="12">
        <v>28.3</v>
      </c>
      <c r="I76" s="12">
        <v>4.6500000000000004</v>
      </c>
      <c r="J76" s="12">
        <v>5.7854095000000001</v>
      </c>
      <c r="K76" s="12">
        <v>314</v>
      </c>
      <c r="L76" s="2">
        <v>0</v>
      </c>
      <c r="O76" s="2">
        <f t="shared" ca="1" si="4"/>
        <v>0.13167312</v>
      </c>
      <c r="AA76" s="2">
        <f t="shared" si="5"/>
        <v>-8.8799999999999955</v>
      </c>
    </row>
    <row r="77" spans="1:27" ht="16">
      <c r="A77" s="2" t="s">
        <v>34</v>
      </c>
      <c r="B77" s="15">
        <v>45176.584722222222</v>
      </c>
      <c r="C77" s="2" t="s">
        <v>75</v>
      </c>
      <c r="D77" s="14">
        <v>-2.4</v>
      </c>
      <c r="E77" s="14">
        <v>-6.2</v>
      </c>
      <c r="F77" s="14">
        <v>0.02</v>
      </c>
      <c r="G77" s="14">
        <v>0.05</v>
      </c>
      <c r="H77" s="12">
        <v>25.8</v>
      </c>
      <c r="I77" s="12">
        <v>4.45</v>
      </c>
      <c r="J77" s="16">
        <v>5.4159772500000001</v>
      </c>
      <c r="K77" s="12">
        <v>155.6</v>
      </c>
      <c r="O77" s="2">
        <f t="shared" ca="1" si="4"/>
        <v>0.12600976</v>
      </c>
      <c r="AA77" s="2">
        <f t="shared" si="5"/>
        <v>-8.8799999999999955</v>
      </c>
    </row>
    <row r="78" spans="1:27" ht="15.75" customHeight="1">
      <c r="A78" s="2" t="s">
        <v>36</v>
      </c>
      <c r="B78" s="3">
        <v>45177.453472222223</v>
      </c>
      <c r="C78" s="2" t="s">
        <v>74</v>
      </c>
      <c r="D78" s="14">
        <v>-2.4</v>
      </c>
      <c r="E78" s="14">
        <v>-5.2</v>
      </c>
      <c r="F78" s="14">
        <v>0.03</v>
      </c>
      <c r="G78" s="14">
        <v>0.23</v>
      </c>
      <c r="H78" s="12">
        <v>24</v>
      </c>
      <c r="I78" s="12">
        <v>4.6500000000000004</v>
      </c>
      <c r="J78" s="12">
        <v>2.1708194000000001</v>
      </c>
      <c r="K78" s="12">
        <v>171.3</v>
      </c>
      <c r="L78" s="2">
        <f>(8.06+5.17)/2</f>
        <v>6.6150000000000002</v>
      </c>
      <c r="O78" s="2">
        <f t="shared" ca="1" si="4"/>
        <v>0.13167312</v>
      </c>
      <c r="AA78" s="2">
        <f t="shared" si="5"/>
        <v>-8.8799999999999955</v>
      </c>
    </row>
    <row r="79" spans="1:27" ht="15.75" customHeight="1">
      <c r="A79" s="2" t="s">
        <v>38</v>
      </c>
      <c r="B79" s="15">
        <v>45183.577777777777</v>
      </c>
      <c r="C79" s="2" t="s">
        <v>73</v>
      </c>
      <c r="D79" s="14">
        <v>-2.2000000000000002</v>
      </c>
      <c r="E79" s="14">
        <v>-5.5</v>
      </c>
      <c r="F79" s="14">
        <v>0.02</v>
      </c>
      <c r="G79" s="14">
        <v>0.06</v>
      </c>
      <c r="H79" s="12">
        <v>25.7</v>
      </c>
      <c r="I79" s="12">
        <v>3.01</v>
      </c>
      <c r="J79" s="12">
        <v>80.988309999999998</v>
      </c>
      <c r="K79" s="12">
        <v>80.099999999999994</v>
      </c>
      <c r="L79" s="2">
        <f>(5.15+2.28+1.74+7.04)/4</f>
        <v>4.0525000000000002</v>
      </c>
      <c r="O79" s="2">
        <f t="shared" ca="1" si="4"/>
        <v>8.5233567999999996E-2</v>
      </c>
      <c r="AA79" s="2">
        <f t="shared" si="5"/>
        <v>-7.2399999999999984</v>
      </c>
    </row>
    <row r="80" spans="1:27" ht="14">
      <c r="A80" s="2" t="s">
        <v>40</v>
      </c>
      <c r="B80" s="15">
        <v>45183.59375</v>
      </c>
      <c r="C80" s="2" t="s">
        <v>72</v>
      </c>
      <c r="D80" s="14">
        <v>-2.5</v>
      </c>
      <c r="E80" s="14">
        <v>-5.6</v>
      </c>
      <c r="F80" s="14">
        <v>0.03</v>
      </c>
      <c r="G80" s="14">
        <v>0.21</v>
      </c>
      <c r="H80" s="12">
        <v>24.2</v>
      </c>
      <c r="I80" s="12">
        <v>4.6500000000000004</v>
      </c>
      <c r="J80" s="12">
        <v>44.994639999999997</v>
      </c>
      <c r="K80" s="12">
        <v>147.5</v>
      </c>
      <c r="O80" s="2">
        <f t="shared" ca="1" si="4"/>
        <v>0.13167312</v>
      </c>
      <c r="AA80" s="2">
        <f t="shared" si="5"/>
        <v>-9.6999999999999993</v>
      </c>
    </row>
    <row r="81" spans="1:27" ht="12.75" customHeight="1">
      <c r="A81" s="2" t="s">
        <v>42</v>
      </c>
      <c r="B81" s="3">
        <v>45187.458333333336</v>
      </c>
      <c r="C81" s="2" t="s">
        <v>71</v>
      </c>
      <c r="D81" s="14">
        <v>-1.8</v>
      </c>
      <c r="E81" s="14">
        <v>-2.8</v>
      </c>
      <c r="F81" s="14">
        <v>0.03</v>
      </c>
      <c r="G81" s="14">
        <v>0.15</v>
      </c>
      <c r="H81" s="12">
        <v>24.3</v>
      </c>
      <c r="I81" s="12">
        <v>3.7</v>
      </c>
      <c r="J81" s="16">
        <v>37.1870975</v>
      </c>
      <c r="K81" s="12">
        <v>69.3</v>
      </c>
      <c r="L81" s="2">
        <f>(63.98+70.2+57.01+47)/4</f>
        <v>59.547499999999999</v>
      </c>
      <c r="O81" s="2">
        <f t="shared" ca="1" si="4"/>
        <v>0.10477216</v>
      </c>
      <c r="AA81" s="2">
        <f t="shared" si="5"/>
        <v>-3.9599999999999991</v>
      </c>
    </row>
    <row r="82" spans="1:27" ht="16">
      <c r="A82" s="2" t="s">
        <v>26</v>
      </c>
      <c r="B82" s="3">
        <v>45187.474999999999</v>
      </c>
      <c r="C82" s="2" t="s">
        <v>70</v>
      </c>
      <c r="D82" s="14">
        <v>-2.4</v>
      </c>
      <c r="E82" s="14">
        <v>-6</v>
      </c>
      <c r="F82" s="14">
        <v>0.02</v>
      </c>
      <c r="G82" s="14">
        <v>0.15</v>
      </c>
      <c r="H82" s="12">
        <v>25.9</v>
      </c>
      <c r="I82" s="12">
        <v>4.6500000000000004</v>
      </c>
      <c r="J82" s="16">
        <v>50.292007499999997</v>
      </c>
      <c r="K82" s="12">
        <v>173.4</v>
      </c>
      <c r="L82" s="2">
        <f>(3.37+4.54+4.54)/3</f>
        <v>4.1499999999999995</v>
      </c>
      <c r="O82" s="2">
        <f t="shared" ca="1" si="4"/>
        <v>0.13167312</v>
      </c>
      <c r="AA82" s="2">
        <f t="shared" si="5"/>
        <v>-8.8799999999999955</v>
      </c>
    </row>
    <row r="83" spans="1:27" ht="16">
      <c r="A83" s="2" t="s">
        <v>45</v>
      </c>
      <c r="B83" s="3">
        <v>45187.486805555556</v>
      </c>
      <c r="C83" s="2" t="s">
        <v>69</v>
      </c>
      <c r="D83" s="14">
        <v>-2.6</v>
      </c>
      <c r="E83" s="14">
        <v>-6.1</v>
      </c>
      <c r="F83" s="14">
        <v>0.03</v>
      </c>
      <c r="G83" s="14">
        <v>0.15</v>
      </c>
      <c r="H83" s="12">
        <v>22.3</v>
      </c>
      <c r="I83" s="12">
        <v>9.1999999999999993</v>
      </c>
      <c r="J83" s="16">
        <v>5.7191558799999997</v>
      </c>
      <c r="K83" s="12">
        <v>60.6</v>
      </c>
      <c r="L83" s="2">
        <v>70</v>
      </c>
      <c r="M83" s="2" t="s">
        <v>68</v>
      </c>
      <c r="N83" s="2">
        <f>CORREL(D76:D187, J76:J187)</f>
        <v>7.0432704039709804E-2</v>
      </c>
      <c r="O83" s="2">
        <f t="shared" ca="1" si="4"/>
        <v>0.26051455999999995</v>
      </c>
      <c r="AA83" s="2">
        <f t="shared" si="5"/>
        <v>-10.52</v>
      </c>
    </row>
    <row r="84" spans="1:27" ht="15.75" customHeight="1">
      <c r="A84" s="2" t="s">
        <v>32</v>
      </c>
      <c r="B84" s="3">
        <v>45238.489583333336</v>
      </c>
      <c r="C84" s="2" t="s">
        <v>67</v>
      </c>
      <c r="D84" s="14">
        <v>-0.4</v>
      </c>
      <c r="E84" s="14">
        <v>0.9</v>
      </c>
      <c r="F84" s="14">
        <v>0.03</v>
      </c>
      <c r="G84" s="14">
        <v>0.11</v>
      </c>
      <c r="H84" s="12">
        <v>27.7</v>
      </c>
      <c r="I84" s="12">
        <v>2.84</v>
      </c>
      <c r="J84" s="12">
        <v>46.293729999999996</v>
      </c>
      <c r="K84" s="12">
        <v>45600</v>
      </c>
      <c r="L84" s="2">
        <v>0</v>
      </c>
      <c r="O84" s="2">
        <f t="shared" ca="1" si="4"/>
        <v>8.041971199999999E-2</v>
      </c>
      <c r="AA84" s="2">
        <f t="shared" si="5"/>
        <v>7.5200000000000014</v>
      </c>
    </row>
    <row r="85" spans="1:27" ht="14">
      <c r="A85" s="2" t="s">
        <v>30</v>
      </c>
      <c r="B85" s="4">
        <v>45238.506944444445</v>
      </c>
      <c r="C85" s="2" t="s">
        <v>66</v>
      </c>
      <c r="D85" s="14">
        <v>-0.9</v>
      </c>
      <c r="E85" s="14">
        <v>-0.7</v>
      </c>
      <c r="F85" s="14">
        <v>0.05</v>
      </c>
      <c r="G85" s="14">
        <v>0.23</v>
      </c>
      <c r="H85" s="2">
        <v>27.6</v>
      </c>
      <c r="I85" s="12">
        <v>2.84</v>
      </c>
      <c r="J85" s="2">
        <v>119.9599</v>
      </c>
      <c r="K85" s="2">
        <v>26500</v>
      </c>
      <c r="L85" s="2">
        <v>0</v>
      </c>
      <c r="O85" s="2">
        <f t="shared" ca="1" si="4"/>
        <v>8.041971199999999E-2</v>
      </c>
      <c r="AA85" s="2">
        <f t="shared" si="5"/>
        <v>3.4200000000000008</v>
      </c>
    </row>
    <row r="86" spans="1:27" ht="14">
      <c r="A86" s="2" t="s">
        <v>28</v>
      </c>
      <c r="B86" s="4">
        <v>45238.524305555555</v>
      </c>
      <c r="C86" s="2" t="s">
        <v>65</v>
      </c>
      <c r="D86" s="14">
        <v>-2.2999999999999998</v>
      </c>
      <c r="E86" s="14">
        <v>-4.2</v>
      </c>
      <c r="F86" s="14">
        <v>0.01</v>
      </c>
      <c r="G86" s="14">
        <v>0.09</v>
      </c>
      <c r="H86" s="12">
        <v>26.4</v>
      </c>
      <c r="I86" s="12">
        <v>2.84</v>
      </c>
      <c r="J86" s="12">
        <v>18.078140000000001</v>
      </c>
      <c r="K86" s="12">
        <v>249.8</v>
      </c>
      <c r="L86" s="2">
        <v>0</v>
      </c>
      <c r="O86" s="2">
        <f t="shared" ca="1" si="4"/>
        <v>8.041971199999999E-2</v>
      </c>
      <c r="AA86" s="2">
        <f t="shared" si="5"/>
        <v>-8.0599999999999952</v>
      </c>
    </row>
    <row r="87" spans="1:27" ht="15.75" customHeight="1">
      <c r="A87" s="2" t="s">
        <v>26</v>
      </c>
      <c r="B87" s="4">
        <v>45238.546527777777</v>
      </c>
      <c r="C87" s="2" t="s">
        <v>64</v>
      </c>
      <c r="D87" s="14">
        <v>-2.2000000000000002</v>
      </c>
      <c r="E87" s="14">
        <v>-3.3</v>
      </c>
      <c r="F87" s="14">
        <v>0.02</v>
      </c>
      <c r="G87" s="14">
        <v>0.17</v>
      </c>
      <c r="H87" s="12">
        <v>26.3</v>
      </c>
      <c r="I87" s="12">
        <v>2.68</v>
      </c>
      <c r="J87" s="12">
        <v>92.867720000000006</v>
      </c>
      <c r="K87" s="12">
        <v>159.69999999999999</v>
      </c>
      <c r="L87" s="2">
        <f>(3.37+4.54+4.54)/3</f>
        <v>4.1499999999999995</v>
      </c>
      <c r="O87" s="2">
        <f t="shared" ca="1" si="4"/>
        <v>7.5889023999999999E-2</v>
      </c>
      <c r="AA87" s="2">
        <f t="shared" si="5"/>
        <v>-7.2399999999999984</v>
      </c>
    </row>
    <row r="88" spans="1:27" ht="15.75" customHeight="1">
      <c r="A88" s="2" t="s">
        <v>36</v>
      </c>
      <c r="B88" s="15">
        <v>45239.548611111109</v>
      </c>
      <c r="C88" s="2" t="s">
        <v>63</v>
      </c>
      <c r="D88" s="14">
        <v>-2.4</v>
      </c>
      <c r="E88" s="14">
        <v>-4.5999999999999996</v>
      </c>
      <c r="F88" s="14">
        <v>0.02</v>
      </c>
      <c r="G88" s="14">
        <v>0.13</v>
      </c>
      <c r="H88" s="12">
        <v>23.5</v>
      </c>
      <c r="I88" s="12">
        <v>2.0699999999999998</v>
      </c>
      <c r="J88" s="12">
        <v>18.575749999999999</v>
      </c>
      <c r="K88" s="12">
        <v>187</v>
      </c>
      <c r="L88" s="2">
        <f>(8.06+5.17)/2</f>
        <v>6.6150000000000002</v>
      </c>
      <c r="O88" s="2">
        <f t="shared" ca="1" si="4"/>
        <v>5.8615775999999994E-2</v>
      </c>
      <c r="AA88" s="2">
        <f t="shared" si="5"/>
        <v>-8.8799999999999955</v>
      </c>
    </row>
    <row r="89" spans="1:27" ht="15.75" customHeight="1">
      <c r="A89" s="2" t="s">
        <v>34</v>
      </c>
      <c r="B89" s="15">
        <v>45239.577777777777</v>
      </c>
      <c r="C89" s="2" t="s">
        <v>62</v>
      </c>
      <c r="D89" s="14">
        <v>-2.4</v>
      </c>
      <c r="E89" s="14">
        <v>-5.2</v>
      </c>
      <c r="F89" s="14">
        <v>0.02</v>
      </c>
      <c r="G89" s="14">
        <v>0.01</v>
      </c>
      <c r="H89" s="12">
        <v>24.2</v>
      </c>
      <c r="I89" s="12">
        <v>2.0699999999999998</v>
      </c>
      <c r="J89" s="12">
        <v>7.9523640000000002</v>
      </c>
      <c r="K89" s="12">
        <v>184</v>
      </c>
      <c r="O89" s="2">
        <f t="shared" ca="1" si="4"/>
        <v>5.8615775999999994E-2</v>
      </c>
      <c r="AA89" s="2">
        <f t="shared" si="5"/>
        <v>-8.8799999999999955</v>
      </c>
    </row>
    <row r="90" spans="1:27" ht="14">
      <c r="A90" s="2" t="s">
        <v>45</v>
      </c>
      <c r="B90" s="3">
        <v>45240.433333333334</v>
      </c>
      <c r="C90" s="2" t="s">
        <v>61</v>
      </c>
      <c r="D90" s="14">
        <v>-2.4</v>
      </c>
      <c r="E90" s="14">
        <v>-3.6</v>
      </c>
      <c r="F90" s="14">
        <v>0.02</v>
      </c>
      <c r="G90" s="14">
        <v>0.06</v>
      </c>
      <c r="H90" s="12">
        <v>22.5</v>
      </c>
      <c r="I90" s="12">
        <v>2.0699999999999998</v>
      </c>
      <c r="J90" s="12">
        <v>23.151979999999998</v>
      </c>
      <c r="K90" s="12">
        <v>101.4</v>
      </c>
      <c r="L90" s="2">
        <v>70</v>
      </c>
      <c r="M90" s="2" t="s">
        <v>60</v>
      </c>
      <c r="N90" s="2">
        <f>CORREL(D81:D193, K81:K193)</f>
        <v>0.54695444347477851</v>
      </c>
      <c r="O90" s="2">
        <f t="shared" ca="1" si="4"/>
        <v>5.8615775999999994E-2</v>
      </c>
      <c r="AA90" s="2">
        <f t="shared" si="5"/>
        <v>-8.8799999999999955</v>
      </c>
    </row>
    <row r="91" spans="1:27" ht="14">
      <c r="A91" s="2" t="s">
        <v>42</v>
      </c>
      <c r="B91" s="3">
        <v>45240.462500000001</v>
      </c>
      <c r="C91" s="2" t="s">
        <v>59</v>
      </c>
      <c r="D91" s="14">
        <v>-2.1</v>
      </c>
      <c r="E91" s="14">
        <v>-3.2</v>
      </c>
      <c r="F91" s="14">
        <v>0.03</v>
      </c>
      <c r="G91" s="14">
        <v>0.12</v>
      </c>
      <c r="H91" s="12">
        <v>23.5</v>
      </c>
      <c r="I91" s="12">
        <v>2.0699999999999998</v>
      </c>
      <c r="J91" s="12">
        <v>1328.3779999999999</v>
      </c>
      <c r="K91" s="12">
        <v>185.5</v>
      </c>
      <c r="L91" s="2">
        <f>(63.98+70.2+57.01+47)/4</f>
        <v>59.547499999999999</v>
      </c>
      <c r="O91" s="2">
        <f t="shared" ca="1" si="4"/>
        <v>5.8615775999999994E-2</v>
      </c>
      <c r="AA91" s="2">
        <f t="shared" si="5"/>
        <v>-6.4199999999999982</v>
      </c>
    </row>
    <row r="92" spans="1:27" ht="14">
      <c r="A92" s="2" t="s">
        <v>40</v>
      </c>
      <c r="B92" s="3">
        <v>45240.481944444444</v>
      </c>
      <c r="C92" s="2" t="s">
        <v>58</v>
      </c>
      <c r="D92" s="14">
        <v>-2.6</v>
      </c>
      <c r="E92" s="14">
        <v>-5.6</v>
      </c>
      <c r="F92" s="14">
        <v>0.04</v>
      </c>
      <c r="G92" s="14">
        <v>0.13</v>
      </c>
      <c r="H92" s="12">
        <v>23.2</v>
      </c>
      <c r="I92" s="12">
        <v>2.0699999999999998</v>
      </c>
      <c r="J92" s="12">
        <v>60.06</v>
      </c>
      <c r="K92" s="12">
        <v>147.5</v>
      </c>
      <c r="O92" s="2">
        <f t="shared" ca="1" si="4"/>
        <v>5.8615775999999994E-2</v>
      </c>
      <c r="AA92" s="2">
        <f t="shared" si="5"/>
        <v>-10.52</v>
      </c>
    </row>
    <row r="93" spans="1:27" ht="15" customHeight="1">
      <c r="A93" s="2" t="s">
        <v>38</v>
      </c>
      <c r="B93" s="3">
        <v>45240.5</v>
      </c>
      <c r="C93" s="2" t="s">
        <v>57</v>
      </c>
      <c r="D93" s="14">
        <v>-2.5</v>
      </c>
      <c r="E93" s="14">
        <v>-5.0999999999999996</v>
      </c>
      <c r="F93" s="14">
        <v>0.04</v>
      </c>
      <c r="G93" s="14">
        <v>0.19</v>
      </c>
      <c r="H93" s="12">
        <v>24.6</v>
      </c>
      <c r="I93" s="12">
        <v>2.0699999999999998</v>
      </c>
      <c r="J93" s="12">
        <v>175.06790000000001</v>
      </c>
      <c r="K93" s="12">
        <v>170.2</v>
      </c>
      <c r="L93" s="2">
        <f>(5.15+2.28+1.74+7.04)/4</f>
        <v>4.0525000000000002</v>
      </c>
      <c r="O93" s="2">
        <f t="shared" ca="1" si="4"/>
        <v>5.8615775999999994E-2</v>
      </c>
      <c r="AA93" s="2">
        <f t="shared" si="5"/>
        <v>-9.6999999999999993</v>
      </c>
    </row>
    <row r="94" spans="1:27" ht="14">
      <c r="A94" s="2" t="s">
        <v>32</v>
      </c>
      <c r="B94" s="3">
        <v>45259.440972222219</v>
      </c>
      <c r="C94" s="2" t="s">
        <v>56</v>
      </c>
      <c r="D94" s="14">
        <v>-3.4</v>
      </c>
      <c r="E94" s="14">
        <v>-14.6</v>
      </c>
      <c r="F94" s="14">
        <v>0.01</v>
      </c>
      <c r="G94" s="14">
        <v>0.09</v>
      </c>
      <c r="H94" s="2">
        <v>23</v>
      </c>
      <c r="I94" s="12">
        <v>146</v>
      </c>
      <c r="J94" s="13">
        <v>29.6374025</v>
      </c>
      <c r="K94" s="2">
        <v>4243</v>
      </c>
      <c r="L94" s="2">
        <v>0</v>
      </c>
      <c r="O94" s="2">
        <f t="shared" ca="1" si="4"/>
        <v>4.1342527999999996</v>
      </c>
      <c r="AA94" s="2">
        <f t="shared" si="5"/>
        <v>-17.079999999999995</v>
      </c>
    </row>
    <row r="95" spans="1:27" ht="15.75" customHeight="1">
      <c r="A95" s="2" t="s">
        <v>30</v>
      </c>
      <c r="B95" s="3">
        <v>45259.463194444441</v>
      </c>
      <c r="C95" s="2" t="s">
        <v>55</v>
      </c>
      <c r="D95" s="14">
        <v>-5.6</v>
      </c>
      <c r="E95" s="14">
        <v>-31.9</v>
      </c>
      <c r="F95" s="14">
        <v>0.02</v>
      </c>
      <c r="G95" s="14">
        <v>0.02</v>
      </c>
      <c r="H95" s="12">
        <v>22.9</v>
      </c>
      <c r="I95" s="12">
        <v>125</v>
      </c>
      <c r="J95" s="13">
        <v>12.3856625</v>
      </c>
      <c r="K95" s="12">
        <v>122.5</v>
      </c>
      <c r="L95" s="2">
        <v>0</v>
      </c>
      <c r="O95" s="2">
        <f t="shared" ca="1" si="4"/>
        <v>3.5396000000000001</v>
      </c>
      <c r="AA95" s="2">
        <f t="shared" si="5"/>
        <v>-35.11999999999999</v>
      </c>
    </row>
    <row r="96" spans="1:27" ht="14">
      <c r="A96" s="2" t="s">
        <v>28</v>
      </c>
      <c r="B96" s="3">
        <v>45260.520833333336</v>
      </c>
      <c r="C96" s="2" t="s">
        <v>54</v>
      </c>
      <c r="D96" s="14">
        <v>-2.7</v>
      </c>
      <c r="E96" s="14">
        <v>-6.7</v>
      </c>
      <c r="F96" s="14">
        <v>0.01</v>
      </c>
      <c r="G96" s="14">
        <v>0.05</v>
      </c>
      <c r="H96" s="12">
        <v>22.7</v>
      </c>
      <c r="I96" s="12">
        <v>12</v>
      </c>
      <c r="J96" s="13">
        <v>10.1309235</v>
      </c>
      <c r="K96" s="12">
        <v>196.4</v>
      </c>
      <c r="L96" s="2">
        <v>0</v>
      </c>
      <c r="O96" s="2">
        <f t="shared" ca="1" si="4"/>
        <v>0.33980159999999998</v>
      </c>
      <c r="AA96" s="2">
        <f t="shared" si="5"/>
        <v>-11.34</v>
      </c>
    </row>
    <row r="97" spans="1:27" ht="14">
      <c r="A97" s="2" t="s">
        <v>34</v>
      </c>
      <c r="B97" s="3">
        <v>45260.541666666664</v>
      </c>
      <c r="C97" s="2" t="s">
        <v>53</v>
      </c>
      <c r="D97" s="14">
        <v>-2.5</v>
      </c>
      <c r="E97" s="14">
        <v>-6.1</v>
      </c>
      <c r="F97" s="14">
        <v>0.03</v>
      </c>
      <c r="G97" s="14">
        <v>0.08</v>
      </c>
      <c r="H97" s="12">
        <v>22.7</v>
      </c>
      <c r="I97" s="12">
        <v>12</v>
      </c>
      <c r="J97" s="13">
        <v>12.385661799999999</v>
      </c>
      <c r="K97" s="12">
        <v>179.8</v>
      </c>
      <c r="O97" s="2">
        <f t="shared" ref="O97:O113" ca="1" si="6">I97*$O$2</f>
        <v>0.33980159999999998</v>
      </c>
      <c r="AA97" s="2">
        <f t="shared" si="5"/>
        <v>-9.6999999999999993</v>
      </c>
    </row>
    <row r="98" spans="1:27" ht="15.75" customHeight="1">
      <c r="A98" s="2" t="s">
        <v>36</v>
      </c>
      <c r="B98" s="3">
        <v>45260.5625</v>
      </c>
      <c r="C98" s="2" t="s">
        <v>52</v>
      </c>
      <c r="D98" s="14">
        <v>-2.5</v>
      </c>
      <c r="E98" s="14">
        <v>-5.4</v>
      </c>
      <c r="F98" s="14">
        <v>0.03</v>
      </c>
      <c r="G98" s="14">
        <v>0.18</v>
      </c>
      <c r="H98" s="12">
        <v>22.8</v>
      </c>
      <c r="I98" s="12">
        <v>12</v>
      </c>
      <c r="J98" s="13">
        <v>7.9549380000000003</v>
      </c>
      <c r="K98" s="12">
        <v>180.8</v>
      </c>
      <c r="L98" s="2">
        <f>(8.06+5.17)/2</f>
        <v>6.6150000000000002</v>
      </c>
      <c r="O98" s="2">
        <f t="shared" ca="1" si="6"/>
        <v>0.33980159999999998</v>
      </c>
      <c r="AA98" s="2">
        <f t="shared" si="5"/>
        <v>-9.6999999999999993</v>
      </c>
    </row>
    <row r="99" spans="1:27" ht="15.75" customHeight="1">
      <c r="A99" s="2" t="s">
        <v>26</v>
      </c>
      <c r="B99" s="3">
        <v>45260.590277777781</v>
      </c>
      <c r="C99" s="2" t="s">
        <v>51</v>
      </c>
      <c r="D99" s="14">
        <v>-2.5</v>
      </c>
      <c r="E99" s="14">
        <v>-5.4</v>
      </c>
      <c r="F99" s="14">
        <v>0.05</v>
      </c>
      <c r="G99" s="14">
        <v>0.22</v>
      </c>
      <c r="H99" s="12">
        <v>22.9</v>
      </c>
      <c r="I99" s="12">
        <v>11.7</v>
      </c>
      <c r="J99" s="13">
        <v>78.958611300000001</v>
      </c>
      <c r="K99" s="12">
        <v>171.2</v>
      </c>
      <c r="L99" s="2">
        <f>(3.37+4.54+4.54)/3</f>
        <v>4.1499999999999995</v>
      </c>
      <c r="O99" s="2">
        <f t="shared" ca="1" si="6"/>
        <v>0.33130655999999997</v>
      </c>
      <c r="AA99" s="2">
        <f t="shared" ref="AA99:AA115" si="7">8.2*D99+10.8</f>
        <v>-9.6999999999999993</v>
      </c>
    </row>
    <row r="100" spans="1:27" ht="15.75" customHeight="1">
      <c r="A100" s="2" t="s">
        <v>40</v>
      </c>
      <c r="B100" s="3">
        <v>45261.4375</v>
      </c>
      <c r="C100" s="2" t="s">
        <v>50</v>
      </c>
      <c r="D100" s="14">
        <v>-3.9</v>
      </c>
      <c r="E100" s="14">
        <v>-18.899999999999999</v>
      </c>
      <c r="F100" s="14">
        <v>0.03</v>
      </c>
      <c r="G100" s="14">
        <v>0.11</v>
      </c>
      <c r="H100" s="12">
        <v>20.9</v>
      </c>
      <c r="I100" s="12">
        <v>19.3</v>
      </c>
      <c r="J100" s="13">
        <v>70.181886300000002</v>
      </c>
      <c r="K100" s="12">
        <v>125.1</v>
      </c>
      <c r="O100" s="2">
        <f t="shared" ca="1" si="6"/>
        <v>0.54651424000000004</v>
      </c>
      <c r="AA100" s="2">
        <f t="shared" si="7"/>
        <v>-21.179999999999996</v>
      </c>
    </row>
    <row r="101" spans="1:27" ht="15.75" customHeight="1">
      <c r="A101" s="2" t="s">
        <v>42</v>
      </c>
      <c r="B101" s="3">
        <v>45261.45208333333</v>
      </c>
      <c r="C101" s="2" t="s">
        <v>49</v>
      </c>
      <c r="D101" s="14">
        <v>-3.8</v>
      </c>
      <c r="E101" s="14">
        <v>-18.399999999999999</v>
      </c>
      <c r="F101" s="14">
        <v>0.02</v>
      </c>
      <c r="G101" s="14">
        <v>0.09</v>
      </c>
      <c r="H101" s="12">
        <v>20.9</v>
      </c>
      <c r="I101" s="12">
        <v>24.3</v>
      </c>
      <c r="J101" s="13">
        <v>260.14112499999999</v>
      </c>
      <c r="K101" s="12">
        <v>127.2</v>
      </c>
      <c r="L101" s="2">
        <f>(63.98+70.2+57.01+47)/4</f>
        <v>59.547499999999999</v>
      </c>
      <c r="O101" s="2">
        <f t="shared" ca="1" si="6"/>
        <v>0.68809823999999997</v>
      </c>
      <c r="AA101" s="2">
        <f t="shared" si="7"/>
        <v>-20.359999999999996</v>
      </c>
    </row>
    <row r="102" spans="1:27" ht="14">
      <c r="A102" s="2" t="s">
        <v>45</v>
      </c>
      <c r="B102" s="3">
        <v>45266.4375</v>
      </c>
      <c r="C102" s="2" t="s">
        <v>48</v>
      </c>
      <c r="D102" s="14">
        <v>-2.8</v>
      </c>
      <c r="E102" s="14">
        <v>-6.6</v>
      </c>
      <c r="F102" s="14">
        <v>0.03</v>
      </c>
      <c r="G102" s="14">
        <v>0.09</v>
      </c>
      <c r="H102" s="2">
        <v>20.9</v>
      </c>
      <c r="I102" s="12">
        <v>8.24</v>
      </c>
      <c r="J102" s="13">
        <v>23.1275263</v>
      </c>
      <c r="K102" s="12">
        <v>86.3</v>
      </c>
      <c r="L102" s="2">
        <v>70</v>
      </c>
      <c r="M102" s="2" t="s">
        <v>47</v>
      </c>
      <c r="N102" s="2">
        <f>CORREL(L93:L204, D93:D204)</f>
        <v>-3.6479326276082864E-2</v>
      </c>
      <c r="O102" s="2">
        <f t="shared" ca="1" si="6"/>
        <v>0.233330432</v>
      </c>
      <c r="AA102" s="2">
        <f t="shared" si="7"/>
        <v>-12.159999999999997</v>
      </c>
    </row>
    <row r="103" spans="1:27" ht="14">
      <c r="A103" s="2" t="s">
        <v>38</v>
      </c>
      <c r="B103" s="3">
        <v>45266.468055555553</v>
      </c>
      <c r="C103" s="2" t="s">
        <v>46</v>
      </c>
      <c r="D103" s="14">
        <v>-2.4</v>
      </c>
      <c r="E103" s="14">
        <v>-5.0999999999999996</v>
      </c>
      <c r="F103" s="14">
        <v>0.03</v>
      </c>
      <c r="G103" s="14">
        <v>0.2</v>
      </c>
      <c r="H103" s="12">
        <v>22.5</v>
      </c>
      <c r="I103" s="12">
        <v>7.3</v>
      </c>
      <c r="J103" s="13">
        <v>178.73826249999999</v>
      </c>
      <c r="K103" s="12">
        <v>165.4</v>
      </c>
      <c r="L103" s="2">
        <f>(5.15+2.28+1.74+7.04)/4</f>
        <v>4.0525000000000002</v>
      </c>
      <c r="O103" s="2">
        <f t="shared" ca="1" si="6"/>
        <v>0.20671264</v>
      </c>
      <c r="AA103" s="2">
        <f t="shared" si="7"/>
        <v>-8.8799999999999955</v>
      </c>
    </row>
    <row r="104" spans="1:27" ht="15">
      <c r="A104" s="2" t="s">
        <v>45</v>
      </c>
      <c r="B104" s="3">
        <v>45344.600694444445</v>
      </c>
      <c r="C104" s="2" t="s">
        <v>44</v>
      </c>
      <c r="D104" s="5">
        <v>-2.4</v>
      </c>
      <c r="E104" s="5">
        <v>-2.5</v>
      </c>
      <c r="F104" s="5">
        <v>0.01</v>
      </c>
      <c r="G104" s="5">
        <v>0.08</v>
      </c>
      <c r="H104" s="2">
        <v>19.5</v>
      </c>
      <c r="I104" s="12">
        <v>2.08</v>
      </c>
      <c r="J104" s="11">
        <v>3.6171720000000001</v>
      </c>
      <c r="K104" s="2">
        <v>117.1</v>
      </c>
      <c r="L104" s="2">
        <v>70</v>
      </c>
      <c r="M104" s="2" t="s">
        <v>43</v>
      </c>
      <c r="N104" s="2">
        <f>CORREL(D93:D205, E93:E205)</f>
        <v>0.98642151509810283</v>
      </c>
      <c r="O104" s="2">
        <f t="shared" ca="1" si="6"/>
        <v>5.8898944000000002E-2</v>
      </c>
      <c r="AA104" s="2">
        <f t="shared" si="7"/>
        <v>-8.8799999999999955</v>
      </c>
    </row>
    <row r="105" spans="1:27" ht="15">
      <c r="A105" s="2" t="s">
        <v>42</v>
      </c>
      <c r="B105" s="3">
        <v>45344.640277777777</v>
      </c>
      <c r="C105" s="2" t="s">
        <v>41</v>
      </c>
      <c r="D105" s="5">
        <v>-2.2000000000000002</v>
      </c>
      <c r="E105" s="5">
        <v>-3.7</v>
      </c>
      <c r="F105" s="5">
        <v>0.02</v>
      </c>
      <c r="G105" s="5">
        <v>0.09</v>
      </c>
      <c r="H105" s="2">
        <v>22.8</v>
      </c>
      <c r="I105" s="12">
        <v>2.08</v>
      </c>
      <c r="J105" s="11">
        <v>813.80610000000001</v>
      </c>
      <c r="K105" s="2">
        <v>190.9</v>
      </c>
      <c r="L105" s="2">
        <f>(63.98+70.2+57.01+47)/4</f>
        <v>59.547499999999999</v>
      </c>
      <c r="O105" s="2">
        <f t="shared" ca="1" si="6"/>
        <v>5.8898944000000002E-2</v>
      </c>
      <c r="AA105" s="2">
        <f t="shared" si="7"/>
        <v>-7.2399999999999984</v>
      </c>
    </row>
    <row r="106" spans="1:27" ht="15">
      <c r="A106" s="2" t="s">
        <v>40</v>
      </c>
      <c r="B106" s="3">
        <v>45344.663888888892</v>
      </c>
      <c r="C106" s="2" t="s">
        <v>39</v>
      </c>
      <c r="D106" s="5">
        <v>-2.6</v>
      </c>
      <c r="E106" s="5">
        <v>-5.6</v>
      </c>
      <c r="F106" s="5">
        <v>0.03</v>
      </c>
      <c r="G106" s="5">
        <v>0.09</v>
      </c>
      <c r="H106" s="2">
        <v>22.5</v>
      </c>
      <c r="I106" s="12">
        <v>2.08</v>
      </c>
      <c r="J106" s="11">
        <v>70.879230000000007</v>
      </c>
      <c r="K106" s="2">
        <v>158.5</v>
      </c>
      <c r="O106" s="2">
        <f t="shared" ca="1" si="6"/>
        <v>5.8898944000000002E-2</v>
      </c>
      <c r="AA106" s="2">
        <f t="shared" si="7"/>
        <v>-10.52</v>
      </c>
    </row>
    <row r="107" spans="1:27" ht="12.75" customHeight="1">
      <c r="A107" s="2" t="s">
        <v>38</v>
      </c>
      <c r="B107" s="3">
        <v>45344.681250000001</v>
      </c>
      <c r="C107" s="2" t="s">
        <v>37</v>
      </c>
      <c r="D107" s="5">
        <v>-2.4</v>
      </c>
      <c r="E107" s="5">
        <v>-4.8</v>
      </c>
      <c r="F107" s="5">
        <v>0.01</v>
      </c>
      <c r="G107" s="5">
        <v>7.0000000000000007E-2</v>
      </c>
      <c r="H107" s="2">
        <v>23.6</v>
      </c>
      <c r="I107" s="12">
        <v>1.97</v>
      </c>
      <c r="J107" s="11">
        <v>88.331040000000002</v>
      </c>
      <c r="K107" s="2">
        <v>102.2</v>
      </c>
      <c r="L107" s="2">
        <f>(5.15+2.28+1.74+7.04)/4</f>
        <v>4.0525000000000002</v>
      </c>
      <c r="O107" s="2">
        <f t="shared" ca="1" si="6"/>
        <v>5.5784095999999998E-2</v>
      </c>
      <c r="AA107" s="2">
        <f t="shared" si="7"/>
        <v>-8.8799999999999955</v>
      </c>
    </row>
    <row r="108" spans="1:27" ht="12.75" customHeight="1">
      <c r="A108" s="2" t="s">
        <v>36</v>
      </c>
      <c r="B108" s="3">
        <v>45345.380555555559</v>
      </c>
      <c r="C108" s="2" t="s">
        <v>35</v>
      </c>
      <c r="D108" s="5">
        <v>-1.6</v>
      </c>
      <c r="E108" s="5">
        <v>1.3</v>
      </c>
      <c r="F108" s="5">
        <v>0.02</v>
      </c>
      <c r="G108" s="5">
        <v>0.11</v>
      </c>
      <c r="H108" s="2">
        <v>21</v>
      </c>
      <c r="I108" s="12">
        <v>2.69</v>
      </c>
      <c r="J108" s="11">
        <v>25.718669999999999</v>
      </c>
      <c r="K108" s="2">
        <v>168.7</v>
      </c>
      <c r="L108" s="2">
        <f>(8.06+5.17)/2</f>
        <v>6.6150000000000002</v>
      </c>
      <c r="O108" s="2">
        <f t="shared" ca="1" si="6"/>
        <v>7.6172192E-2</v>
      </c>
      <c r="AA108" s="2">
        <f t="shared" si="7"/>
        <v>-2.3199999999999985</v>
      </c>
    </row>
    <row r="109" spans="1:27" ht="15">
      <c r="A109" s="2" t="s">
        <v>34</v>
      </c>
      <c r="B109" s="3">
        <v>45345.411111111112</v>
      </c>
      <c r="C109" s="2" t="s">
        <v>33</v>
      </c>
      <c r="D109" s="5">
        <v>-1.5</v>
      </c>
      <c r="E109" s="5">
        <v>2.1</v>
      </c>
      <c r="F109" s="5">
        <v>0.01</v>
      </c>
      <c r="G109" s="5">
        <v>0.11</v>
      </c>
      <c r="H109" s="2">
        <v>21.2</v>
      </c>
      <c r="I109" s="12">
        <v>2.69</v>
      </c>
      <c r="J109" s="11">
        <v>21.105170000000001</v>
      </c>
      <c r="K109" s="2">
        <v>165.6</v>
      </c>
      <c r="O109" s="2">
        <f t="shared" ca="1" si="6"/>
        <v>7.6172192E-2</v>
      </c>
      <c r="AA109" s="2">
        <f t="shared" si="7"/>
        <v>-1.4999999999999982</v>
      </c>
    </row>
    <row r="110" spans="1:27" ht="15">
      <c r="A110" s="2" t="s">
        <v>32</v>
      </c>
      <c r="B110" s="3">
        <v>45351.537499999999</v>
      </c>
      <c r="C110" s="2" t="s">
        <v>31</v>
      </c>
      <c r="D110" s="5">
        <v>-1.6</v>
      </c>
      <c r="E110" s="5">
        <v>-0.9</v>
      </c>
      <c r="F110" s="5">
        <v>0.05</v>
      </c>
      <c r="G110" s="5">
        <v>0.2</v>
      </c>
      <c r="H110" s="2">
        <v>26.2</v>
      </c>
      <c r="I110" s="12">
        <v>10.9</v>
      </c>
      <c r="J110" s="11">
        <v>85.365979999999993</v>
      </c>
      <c r="K110" s="2">
        <v>18609</v>
      </c>
      <c r="L110" s="2">
        <v>0</v>
      </c>
      <c r="O110" s="2">
        <f t="shared" ca="1" si="6"/>
        <v>0.30865312</v>
      </c>
      <c r="AA110" s="2">
        <f t="shared" si="7"/>
        <v>-2.3199999999999985</v>
      </c>
    </row>
    <row r="111" spans="1:27" ht="15">
      <c r="A111" s="2" t="s">
        <v>30</v>
      </c>
      <c r="B111" s="3">
        <v>45351.558333333334</v>
      </c>
      <c r="C111" s="2" t="s">
        <v>29</v>
      </c>
      <c r="D111" s="5">
        <v>-2.4</v>
      </c>
      <c r="E111" s="5">
        <v>-3.2</v>
      </c>
      <c r="F111" s="5">
        <v>0.01</v>
      </c>
      <c r="G111" s="5">
        <v>0.09</v>
      </c>
      <c r="H111" s="2">
        <v>24.4</v>
      </c>
      <c r="I111" s="12">
        <v>10.3</v>
      </c>
      <c r="J111" s="11">
        <v>36.929360000000003</v>
      </c>
      <c r="K111" s="2">
        <v>461.8</v>
      </c>
      <c r="L111" s="2">
        <v>0</v>
      </c>
      <c r="O111" s="2">
        <f t="shared" ca="1" si="6"/>
        <v>0.29166304000000004</v>
      </c>
      <c r="AA111" s="2">
        <f t="shared" si="7"/>
        <v>-8.8799999999999955</v>
      </c>
    </row>
    <row r="112" spans="1:27" ht="12.75" customHeight="1">
      <c r="A112" s="2" t="s">
        <v>28</v>
      </c>
      <c r="B112" s="3">
        <v>45351.579861111109</v>
      </c>
      <c r="C112" s="2" t="s">
        <v>27</v>
      </c>
      <c r="D112" s="5">
        <v>-2.2999999999999998</v>
      </c>
      <c r="E112" s="5">
        <v>-2.5</v>
      </c>
      <c r="F112" s="5">
        <v>0.04</v>
      </c>
      <c r="G112" s="5">
        <v>0.08</v>
      </c>
      <c r="H112" s="2">
        <v>23.8</v>
      </c>
      <c r="I112" s="12">
        <v>10</v>
      </c>
      <c r="J112" s="11">
        <v>33.252000000000002</v>
      </c>
      <c r="K112" s="2">
        <v>134.19999999999999</v>
      </c>
      <c r="L112" s="2">
        <v>0</v>
      </c>
      <c r="O112" s="2">
        <f t="shared" ca="1" si="6"/>
        <v>0.28316799999999998</v>
      </c>
      <c r="AA112" s="2">
        <f t="shared" si="7"/>
        <v>-8.0599999999999952</v>
      </c>
    </row>
    <row r="113" spans="1:27" ht="12.75" customHeight="1">
      <c r="A113" s="2" t="s">
        <v>26</v>
      </c>
      <c r="B113" s="3">
        <v>45351.611805555556</v>
      </c>
      <c r="C113" s="2" t="s">
        <v>25</v>
      </c>
      <c r="D113" s="5">
        <v>-2.4</v>
      </c>
      <c r="E113" s="5">
        <v>-3.1</v>
      </c>
      <c r="F113" s="5">
        <v>0.01</v>
      </c>
      <c r="G113" s="5">
        <v>0.09</v>
      </c>
      <c r="H113" s="2">
        <v>23.8</v>
      </c>
      <c r="I113" s="12">
        <v>9.5</v>
      </c>
      <c r="J113" s="11">
        <v>51.425109999999997</v>
      </c>
      <c r="K113" s="2">
        <v>130.9</v>
      </c>
      <c r="L113" s="2">
        <f>(3.37+4.54+4.54)/3</f>
        <v>4.1499999999999995</v>
      </c>
      <c r="O113" s="2">
        <f t="shared" ca="1" si="6"/>
        <v>0.26900960000000002</v>
      </c>
      <c r="AA113" s="2">
        <f t="shared" si="7"/>
        <v>-8.8799999999999955</v>
      </c>
    </row>
    <row r="114" spans="1:27" ht="14">
      <c r="A114" s="2" t="s">
        <v>24</v>
      </c>
      <c r="B114" s="2" t="s">
        <v>23</v>
      </c>
      <c r="C114" s="2" t="s">
        <v>22</v>
      </c>
      <c r="D114" s="10" t="s">
        <v>21</v>
      </c>
      <c r="E114" s="9" t="s">
        <v>20</v>
      </c>
      <c r="F114" s="10" t="s">
        <v>2</v>
      </c>
      <c r="G114" s="9" t="s">
        <v>3</v>
      </c>
      <c r="H114" s="2" t="s">
        <v>19</v>
      </c>
      <c r="I114" s="2" t="s">
        <v>18</v>
      </c>
      <c r="J114" s="2" t="s">
        <v>17</v>
      </c>
      <c r="K114" s="2" t="s">
        <v>16</v>
      </c>
      <c r="L114" s="2" t="s">
        <v>15</v>
      </c>
      <c r="O114" s="8">
        <v>2.83168E-2</v>
      </c>
      <c r="R114" s="2">
        <f ca="1">STDEV(O3:O115)</f>
        <v>0.55048728339116826</v>
      </c>
      <c r="AA114" s="2" t="e">
        <f t="shared" si="7"/>
        <v>#VALUE!</v>
      </c>
    </row>
    <row r="115" spans="1:27" ht="15" customHeight="1">
      <c r="A115" s="2"/>
      <c r="B115" s="2"/>
      <c r="C115" s="2"/>
      <c r="D115" s="7" t="s">
        <v>14</v>
      </c>
      <c r="E115" s="6"/>
      <c r="F115" s="7" t="s">
        <v>13</v>
      </c>
      <c r="G115" s="6"/>
      <c r="O115" s="2" t="s">
        <v>12</v>
      </c>
      <c r="AA115" s="2" t="e">
        <f t="shared" si="7"/>
        <v>#VALUE!</v>
      </c>
    </row>
    <row r="116" spans="1:27" ht="14">
      <c r="D116" s="2"/>
      <c r="E116" s="2"/>
      <c r="F116" s="2"/>
      <c r="G116" s="2"/>
    </row>
    <row r="117" spans="1:27" ht="14">
      <c r="D117" s="2"/>
      <c r="E117" s="2"/>
      <c r="F117" s="2"/>
      <c r="G117" s="2"/>
    </row>
    <row r="118" spans="1:27" ht="14">
      <c r="D118" s="2"/>
      <c r="E118" s="2"/>
      <c r="F118" s="2"/>
      <c r="G118" s="2"/>
    </row>
    <row r="119" spans="1:27" ht="14">
      <c r="D119" s="2"/>
      <c r="E119" s="2"/>
      <c r="F119" s="2"/>
      <c r="G119" s="2"/>
    </row>
    <row r="120" spans="1:27" ht="14">
      <c r="B120" s="3"/>
      <c r="D120" s="2"/>
      <c r="E120" s="2"/>
      <c r="F120" s="2"/>
      <c r="G120" s="2"/>
    </row>
    <row r="121" spans="1:27" ht="14">
      <c r="B121" s="3"/>
      <c r="D121" s="5"/>
      <c r="E121" s="5"/>
      <c r="F121" s="5"/>
      <c r="G121" s="5"/>
    </row>
    <row r="122" spans="1:27" ht="14">
      <c r="B122" s="3"/>
      <c r="D122" s="5"/>
      <c r="E122" s="5"/>
      <c r="F122" s="5"/>
      <c r="G122" s="5"/>
    </row>
    <row r="123" spans="1:27" ht="14">
      <c r="B123" s="3"/>
      <c r="D123" s="5"/>
      <c r="E123" s="5"/>
      <c r="F123" s="5"/>
      <c r="G123" s="5"/>
    </row>
    <row r="124" spans="1:27" ht="14">
      <c r="B124" s="3"/>
      <c r="D124" s="5"/>
      <c r="E124" s="5"/>
      <c r="F124" s="5"/>
      <c r="G124" s="5"/>
    </row>
    <row r="125" spans="1:27" ht="14">
      <c r="B125" s="3"/>
      <c r="D125" s="5"/>
      <c r="E125" s="5"/>
      <c r="F125" s="5"/>
      <c r="G125" s="5"/>
    </row>
    <row r="126" spans="1:27" ht="14">
      <c r="B126" s="3"/>
      <c r="D126" s="5"/>
      <c r="E126" s="5"/>
      <c r="F126" s="5"/>
      <c r="G126" s="5"/>
    </row>
    <row r="127" spans="1:27" ht="14">
      <c r="B127" s="3"/>
      <c r="D127" s="5"/>
      <c r="E127" s="5"/>
      <c r="F127" s="5"/>
      <c r="G127" s="5"/>
    </row>
    <row r="128" spans="1:27" ht="14">
      <c r="B128" s="3"/>
      <c r="D128" s="5"/>
      <c r="E128" s="5"/>
      <c r="F128" s="5"/>
      <c r="G128" s="5"/>
    </row>
    <row r="129" spans="2:7" ht="14">
      <c r="B129" s="3"/>
      <c r="D129" s="5"/>
      <c r="E129" s="5"/>
      <c r="F129" s="5"/>
      <c r="G129" s="5"/>
    </row>
    <row r="130" spans="2:7" ht="14">
      <c r="B130" s="3"/>
      <c r="D130" s="5"/>
      <c r="E130" s="5"/>
      <c r="F130" s="5"/>
      <c r="G130" s="5"/>
    </row>
    <row r="131" spans="2:7" ht="14">
      <c r="B131" s="3"/>
      <c r="D131" s="2"/>
      <c r="E131" s="2"/>
      <c r="F131" s="2"/>
      <c r="G131" s="2"/>
    </row>
    <row r="132" spans="2:7" ht="14">
      <c r="B132" s="3"/>
      <c r="D132" s="2"/>
      <c r="E132" s="2"/>
      <c r="F132" s="2"/>
      <c r="G132" s="2"/>
    </row>
    <row r="133" spans="2:7" ht="14">
      <c r="B133" s="3"/>
      <c r="D133" s="2"/>
      <c r="E133" s="2"/>
      <c r="F133" s="2"/>
      <c r="G133" s="2"/>
    </row>
    <row r="134" spans="2:7" ht="14">
      <c r="B134" s="4"/>
      <c r="D134" s="2"/>
      <c r="E134" s="2"/>
      <c r="F134" s="2"/>
      <c r="G134" s="2"/>
    </row>
    <row r="135" spans="2:7" ht="14">
      <c r="B135" s="3"/>
      <c r="D135" s="2"/>
      <c r="E135" s="2"/>
      <c r="F135" s="2"/>
      <c r="G135" s="2"/>
    </row>
    <row r="136" spans="2:7" ht="14">
      <c r="B136" s="3"/>
      <c r="D136" s="2"/>
      <c r="E136" s="2"/>
      <c r="F136" s="2"/>
      <c r="G136" s="2"/>
    </row>
    <row r="137" spans="2:7" ht="14">
      <c r="B137" s="3"/>
      <c r="D137" s="2"/>
      <c r="E137" s="2"/>
      <c r="F137" s="2"/>
      <c r="G137" s="2"/>
    </row>
    <row r="138" spans="2:7" ht="14">
      <c r="B138" s="3"/>
      <c r="D138" s="2"/>
      <c r="E138" s="2"/>
      <c r="F138" s="2"/>
      <c r="G138" s="2"/>
    </row>
    <row r="139" spans="2:7" ht="14">
      <c r="B139" s="3"/>
      <c r="D139" s="2"/>
      <c r="E139" s="2"/>
      <c r="F139" s="2"/>
      <c r="G139" s="2"/>
    </row>
    <row r="140" spans="2:7" ht="14">
      <c r="B140" s="3"/>
      <c r="D140" s="2"/>
      <c r="E140" s="2"/>
      <c r="F140" s="2"/>
      <c r="G140" s="2"/>
    </row>
    <row r="141" spans="2:7" ht="14">
      <c r="B141" s="3"/>
      <c r="D141" s="2"/>
      <c r="E141" s="2"/>
      <c r="F141" s="2"/>
      <c r="G141" s="2"/>
    </row>
    <row r="142" spans="2:7" ht="14">
      <c r="B142" s="3"/>
      <c r="D142" s="2"/>
      <c r="E142" s="2"/>
      <c r="F142" s="2"/>
      <c r="G142" s="2"/>
    </row>
    <row r="143" spans="2:7" ht="14">
      <c r="B143" s="3"/>
      <c r="D143" s="2"/>
      <c r="E143" s="2"/>
      <c r="F143" s="2"/>
      <c r="G143" s="2"/>
    </row>
    <row r="144" spans="2:7" ht="14">
      <c r="B144" s="3"/>
      <c r="D144" s="2"/>
      <c r="E144" s="2"/>
      <c r="F144" s="2"/>
      <c r="G144" s="2"/>
    </row>
    <row r="145" spans="2:7" ht="14">
      <c r="B145" s="3"/>
      <c r="D145" s="2"/>
      <c r="E145" s="2"/>
      <c r="F145" s="2"/>
      <c r="G145" s="2"/>
    </row>
    <row r="146" spans="2:7" ht="14">
      <c r="B146" s="4"/>
      <c r="D146" s="2"/>
      <c r="E146" s="2"/>
      <c r="F146" s="2"/>
      <c r="G146" s="2"/>
    </row>
    <row r="147" spans="2:7" ht="14">
      <c r="B147" s="3"/>
      <c r="D147" s="2"/>
      <c r="E147" s="2"/>
      <c r="F147" s="2"/>
      <c r="G147" s="2"/>
    </row>
    <row r="148" spans="2:7" ht="14">
      <c r="B148" s="3"/>
      <c r="D148" s="2"/>
      <c r="E148" s="2"/>
      <c r="F148" s="2"/>
      <c r="G148" s="2"/>
    </row>
    <row r="149" spans="2:7" ht="14">
      <c r="B149" s="3"/>
      <c r="D149" s="2"/>
      <c r="E149" s="2"/>
      <c r="F149" s="2"/>
      <c r="G149" s="2"/>
    </row>
    <row r="150" spans="2:7" ht="14">
      <c r="D150" s="2"/>
      <c r="E150" s="2"/>
      <c r="F150" s="2"/>
      <c r="G150" s="2"/>
    </row>
    <row r="151" spans="2:7" ht="14">
      <c r="D151" s="2"/>
      <c r="E151" s="2"/>
      <c r="F151" s="2"/>
      <c r="G151" s="2"/>
    </row>
    <row r="152" spans="2:7" ht="14">
      <c r="D152" s="2"/>
      <c r="E152" s="2"/>
      <c r="F152" s="2"/>
      <c r="G152" s="2"/>
    </row>
    <row r="153" spans="2:7" ht="14">
      <c r="D153" s="2"/>
      <c r="E153" s="2"/>
      <c r="F153" s="2"/>
      <c r="G153" s="2"/>
    </row>
    <row r="154" spans="2:7" ht="14">
      <c r="D154" s="2"/>
      <c r="E154" s="2"/>
      <c r="F154" s="2"/>
      <c r="G154" s="2"/>
    </row>
    <row r="155" spans="2:7" ht="14">
      <c r="D155" s="2"/>
      <c r="E155" s="2"/>
      <c r="F155" s="2"/>
      <c r="G155" s="2"/>
    </row>
    <row r="156" spans="2:7" ht="14">
      <c r="D156" s="2"/>
      <c r="E156" s="2"/>
      <c r="F156" s="2"/>
      <c r="G156" s="2"/>
    </row>
    <row r="157" spans="2:7" ht="14">
      <c r="D157" s="2"/>
      <c r="E157" s="2"/>
      <c r="F157" s="2"/>
      <c r="G157" s="2"/>
    </row>
    <row r="158" spans="2:7" ht="14">
      <c r="D158" s="2"/>
      <c r="E158" s="2"/>
      <c r="F158" s="2"/>
      <c r="G158" s="2"/>
    </row>
    <row r="159" spans="2:7" ht="14">
      <c r="D159" s="2"/>
      <c r="E159" s="2"/>
      <c r="F159" s="2"/>
      <c r="G159" s="2"/>
    </row>
    <row r="160" spans="2:7" ht="14">
      <c r="D160" s="2"/>
      <c r="E160" s="2"/>
      <c r="F160" s="2"/>
      <c r="G160" s="2"/>
    </row>
    <row r="161" spans="4:7" ht="14">
      <c r="D161" s="2"/>
      <c r="E161" s="2"/>
      <c r="F161" s="2"/>
      <c r="G161" s="2"/>
    </row>
    <row r="162" spans="4:7" ht="14">
      <c r="D162" s="2"/>
      <c r="E162" s="2"/>
      <c r="F162" s="2"/>
      <c r="G162" s="2"/>
    </row>
    <row r="163" spans="4:7" ht="14">
      <c r="D163" s="2"/>
      <c r="E163" s="2"/>
      <c r="F163" s="2"/>
      <c r="G163" s="2"/>
    </row>
    <row r="164" spans="4:7" ht="14">
      <c r="D164" s="2"/>
      <c r="E164" s="2"/>
      <c r="F164" s="2"/>
      <c r="G164" s="2"/>
    </row>
    <row r="165" spans="4:7" ht="14">
      <c r="D165" s="2"/>
      <c r="E165" s="2"/>
      <c r="F165" s="2"/>
      <c r="G165" s="2"/>
    </row>
    <row r="166" spans="4:7" ht="14">
      <c r="D166" s="2"/>
      <c r="E166" s="2"/>
      <c r="F166" s="2"/>
      <c r="G166" s="2"/>
    </row>
    <row r="167" spans="4:7" ht="14">
      <c r="D167" s="2"/>
      <c r="E167" s="2"/>
      <c r="F167" s="2"/>
      <c r="G167" s="2"/>
    </row>
    <row r="168" spans="4:7" ht="14">
      <c r="D168" s="2"/>
      <c r="E168" s="2"/>
      <c r="F168" s="2"/>
      <c r="G168" s="2"/>
    </row>
    <row r="169" spans="4:7" ht="14">
      <c r="D169" s="2"/>
      <c r="E169" s="2"/>
      <c r="F169" s="2"/>
      <c r="G169" s="2"/>
    </row>
    <row r="170" spans="4:7" ht="14">
      <c r="D170" s="2"/>
      <c r="E170" s="2"/>
      <c r="F170" s="2"/>
      <c r="G170" s="2"/>
    </row>
    <row r="171" spans="4:7" ht="14">
      <c r="D171" s="2"/>
      <c r="E171" s="2"/>
      <c r="F171" s="2"/>
      <c r="G171" s="2"/>
    </row>
    <row r="172" spans="4:7" ht="14">
      <c r="D172" s="2"/>
      <c r="E172" s="2"/>
      <c r="F172" s="2"/>
      <c r="G172" s="2"/>
    </row>
    <row r="173" spans="4:7" ht="14">
      <c r="D173" s="2"/>
      <c r="E173" s="2"/>
      <c r="F173" s="2"/>
      <c r="G173" s="2"/>
    </row>
    <row r="174" spans="4:7" ht="14">
      <c r="D174" s="2"/>
      <c r="E174" s="2"/>
      <c r="F174" s="2"/>
      <c r="G174" s="2"/>
    </row>
    <row r="175" spans="4:7" ht="14">
      <c r="D175" s="2"/>
      <c r="E175" s="2"/>
      <c r="F175" s="2"/>
      <c r="G175" s="2"/>
    </row>
    <row r="176" spans="4:7" ht="14">
      <c r="D176" s="2"/>
      <c r="E176" s="2"/>
      <c r="F176" s="2"/>
      <c r="G176" s="2"/>
    </row>
    <row r="177" spans="4:7" ht="14">
      <c r="D177" s="2"/>
      <c r="E177" s="2"/>
      <c r="F177" s="2"/>
      <c r="G177" s="2"/>
    </row>
    <row r="178" spans="4:7" ht="14">
      <c r="D178" s="2"/>
      <c r="E178" s="2"/>
      <c r="F178" s="2"/>
      <c r="G178" s="2"/>
    </row>
    <row r="179" spans="4:7" ht="14">
      <c r="D179" s="2"/>
      <c r="E179" s="2"/>
      <c r="F179" s="2"/>
      <c r="G179" s="2"/>
    </row>
    <row r="180" spans="4:7" ht="14">
      <c r="D180" s="2"/>
      <c r="E180" s="2"/>
      <c r="F180" s="2"/>
      <c r="G180" s="2"/>
    </row>
    <row r="181" spans="4:7" ht="14">
      <c r="D181" s="2"/>
      <c r="E181" s="2"/>
      <c r="F181" s="2"/>
      <c r="G181" s="2"/>
    </row>
    <row r="182" spans="4:7" ht="14">
      <c r="D182" s="2"/>
      <c r="E182" s="2"/>
      <c r="F182" s="2"/>
      <c r="G182" s="2"/>
    </row>
    <row r="183" spans="4:7" ht="14">
      <c r="D183" s="2"/>
      <c r="E183" s="2"/>
      <c r="F183" s="2"/>
      <c r="G183" s="2"/>
    </row>
    <row r="184" spans="4:7" ht="14">
      <c r="D184" s="2"/>
      <c r="E184" s="2"/>
      <c r="F184" s="2"/>
      <c r="G184" s="2"/>
    </row>
    <row r="185" spans="4:7" ht="14">
      <c r="D185" s="2"/>
      <c r="E185" s="2"/>
      <c r="F185" s="2"/>
      <c r="G185" s="2"/>
    </row>
    <row r="186" spans="4:7" ht="14">
      <c r="D186" s="2"/>
      <c r="E186" s="2"/>
      <c r="F186" s="2"/>
      <c r="G186" s="2"/>
    </row>
    <row r="187" spans="4:7" ht="14">
      <c r="D187" s="2"/>
      <c r="E187" s="2"/>
      <c r="F187" s="2"/>
      <c r="G187" s="2"/>
    </row>
    <row r="188" spans="4:7" ht="14">
      <c r="D188" s="2"/>
      <c r="E188" s="2"/>
      <c r="F188" s="2"/>
      <c r="G188" s="2"/>
    </row>
    <row r="189" spans="4:7" ht="14">
      <c r="D189" s="2"/>
      <c r="E189" s="2"/>
      <c r="F189" s="2"/>
      <c r="G189" s="2"/>
    </row>
    <row r="190" spans="4:7" ht="14">
      <c r="D190" s="2"/>
      <c r="E190" s="2"/>
      <c r="F190" s="2"/>
      <c r="G190" s="2"/>
    </row>
    <row r="191" spans="4:7" ht="14">
      <c r="D191" s="2"/>
      <c r="E191" s="2"/>
      <c r="F191" s="2"/>
      <c r="G191" s="2"/>
    </row>
    <row r="192" spans="4:7" ht="14">
      <c r="D192" s="2"/>
      <c r="E192" s="2"/>
      <c r="F192" s="2"/>
      <c r="G192" s="2"/>
    </row>
    <row r="193" spans="4:7" ht="14">
      <c r="D193" s="2"/>
      <c r="E193" s="2"/>
      <c r="F193" s="2"/>
      <c r="G193" s="2"/>
    </row>
    <row r="194" spans="4:7" ht="14">
      <c r="D194" s="2"/>
      <c r="E194" s="2"/>
      <c r="F194" s="2"/>
      <c r="G194" s="2"/>
    </row>
    <row r="195" spans="4:7" ht="14">
      <c r="D195" s="2"/>
      <c r="E195" s="2"/>
      <c r="F195" s="2"/>
      <c r="G195" s="2"/>
    </row>
    <row r="196" spans="4:7" ht="14">
      <c r="D196" s="2"/>
      <c r="E196" s="2"/>
      <c r="F196" s="2"/>
      <c r="G196" s="2"/>
    </row>
    <row r="197" spans="4:7" ht="14">
      <c r="D197" s="2"/>
      <c r="E197" s="2"/>
      <c r="F197" s="2"/>
      <c r="G197" s="2"/>
    </row>
    <row r="198" spans="4:7" ht="14">
      <c r="D198" s="2"/>
      <c r="E198" s="2"/>
      <c r="F198" s="2"/>
      <c r="G198" s="2"/>
    </row>
    <row r="199" spans="4:7" ht="14">
      <c r="D199" s="2"/>
      <c r="E199" s="2"/>
      <c r="F199" s="2"/>
      <c r="G199" s="2"/>
    </row>
    <row r="200" spans="4:7" ht="14">
      <c r="D200" s="2"/>
      <c r="E200" s="2"/>
      <c r="F200" s="2"/>
      <c r="G200" s="2"/>
    </row>
    <row r="201" spans="4:7" ht="14">
      <c r="D201" s="2"/>
      <c r="E201" s="2"/>
      <c r="F201" s="2"/>
      <c r="G201" s="2"/>
    </row>
    <row r="202" spans="4:7" ht="14">
      <c r="D202" s="2"/>
      <c r="E202" s="2"/>
      <c r="F202" s="2"/>
      <c r="G202" s="2"/>
    </row>
    <row r="203" spans="4:7" ht="14">
      <c r="D203" s="2"/>
      <c r="E203" s="2"/>
      <c r="F203" s="2"/>
      <c r="G203" s="2"/>
    </row>
    <row r="204" spans="4:7" ht="14">
      <c r="D204" s="2"/>
      <c r="E204" s="2"/>
      <c r="F204" s="2"/>
      <c r="G204" s="2"/>
    </row>
    <row r="205" spans="4:7" ht="14">
      <c r="D205" s="2"/>
      <c r="E205" s="2"/>
      <c r="F205" s="2"/>
      <c r="G205" s="2"/>
    </row>
    <row r="206" spans="4:7" ht="14">
      <c r="D206" s="2"/>
      <c r="E206" s="2"/>
      <c r="F206" s="2"/>
      <c r="G206" s="2"/>
    </row>
    <row r="207" spans="4:7" ht="14">
      <c r="D207" s="2"/>
      <c r="E207" s="2"/>
      <c r="F207" s="2"/>
      <c r="G207" s="2"/>
    </row>
    <row r="208" spans="4:7" ht="14">
      <c r="D208" s="2"/>
      <c r="E208" s="2"/>
      <c r="F208" s="2"/>
      <c r="G208" s="2"/>
    </row>
    <row r="209" spans="4:7" ht="14">
      <c r="D209" s="2"/>
      <c r="E209" s="2"/>
      <c r="F209" s="2"/>
      <c r="G209" s="2"/>
    </row>
    <row r="210" spans="4:7" ht="14">
      <c r="D210" s="2"/>
      <c r="E210" s="2"/>
      <c r="F210" s="2"/>
      <c r="G210" s="2"/>
    </row>
    <row r="211" spans="4:7" ht="14">
      <c r="D211" s="2"/>
      <c r="E211" s="2"/>
      <c r="F211" s="2"/>
      <c r="G211" s="2"/>
    </row>
    <row r="212" spans="4:7" ht="14">
      <c r="D212" s="2"/>
      <c r="E212" s="2"/>
      <c r="F212" s="2"/>
      <c r="G212" s="2"/>
    </row>
    <row r="213" spans="4:7" ht="14">
      <c r="D213" s="2"/>
      <c r="E213" s="2"/>
      <c r="F213" s="2"/>
      <c r="G213" s="2"/>
    </row>
    <row r="214" spans="4:7" ht="14">
      <c r="D214" s="2"/>
      <c r="E214" s="2"/>
      <c r="F214" s="2"/>
      <c r="G214" s="2"/>
    </row>
    <row r="215" spans="4:7" ht="14">
      <c r="D215" s="2"/>
      <c r="E215" s="2"/>
      <c r="F215" s="2"/>
      <c r="G215" s="2"/>
    </row>
    <row r="216" spans="4:7" ht="14">
      <c r="D216" s="2"/>
      <c r="E216" s="2"/>
      <c r="F216" s="2"/>
      <c r="G216" s="2"/>
    </row>
    <row r="217" spans="4:7" ht="14">
      <c r="D217" s="2"/>
      <c r="E217" s="2"/>
      <c r="F217" s="2"/>
      <c r="G217" s="2"/>
    </row>
    <row r="218" spans="4:7" ht="14">
      <c r="D218" s="2"/>
      <c r="E218" s="2"/>
      <c r="F218" s="2"/>
      <c r="G218" s="2"/>
    </row>
    <row r="219" spans="4:7" ht="14">
      <c r="D219" s="2"/>
      <c r="E219" s="2"/>
      <c r="F219" s="2"/>
      <c r="G219" s="2"/>
    </row>
    <row r="220" spans="4:7" ht="14">
      <c r="D220" s="2"/>
      <c r="E220" s="2"/>
      <c r="F220" s="2"/>
      <c r="G220" s="2"/>
    </row>
    <row r="221" spans="4:7" ht="14">
      <c r="D221" s="2"/>
      <c r="E221" s="2"/>
      <c r="F221" s="2"/>
      <c r="G221" s="2"/>
    </row>
    <row r="222" spans="4:7" ht="14">
      <c r="D222" s="2"/>
      <c r="E222" s="2"/>
      <c r="F222" s="2"/>
      <c r="G222" s="2"/>
    </row>
    <row r="223" spans="4:7" ht="14">
      <c r="D223" s="2"/>
      <c r="E223" s="2"/>
      <c r="F223" s="2"/>
      <c r="G223" s="2"/>
    </row>
    <row r="224" spans="4:7" ht="14">
      <c r="D224" s="2"/>
      <c r="E224" s="2"/>
      <c r="F224" s="2"/>
      <c r="G224" s="2"/>
    </row>
    <row r="225" spans="4:7" ht="14">
      <c r="D225" s="2"/>
      <c r="E225" s="2"/>
      <c r="F225" s="2"/>
      <c r="G225" s="2"/>
    </row>
    <row r="226" spans="4:7" ht="14">
      <c r="D226" s="2"/>
      <c r="E226" s="2"/>
      <c r="F226" s="2"/>
      <c r="G226" s="2"/>
    </row>
    <row r="227" spans="4:7" ht="14">
      <c r="D227" s="2"/>
      <c r="E227" s="2"/>
      <c r="F227" s="2"/>
      <c r="G227" s="2"/>
    </row>
    <row r="228" spans="4:7" ht="14">
      <c r="D228" s="2"/>
      <c r="E228" s="2"/>
      <c r="F228" s="2"/>
      <c r="G228" s="2"/>
    </row>
    <row r="229" spans="4:7" ht="14">
      <c r="D229" s="2"/>
      <c r="E229" s="2"/>
      <c r="F229" s="2"/>
      <c r="G229" s="2"/>
    </row>
    <row r="230" spans="4:7" ht="14">
      <c r="D230" s="2"/>
      <c r="E230" s="2"/>
      <c r="F230" s="2"/>
      <c r="G230" s="2"/>
    </row>
    <row r="231" spans="4:7" ht="14">
      <c r="D231" s="2"/>
      <c r="E231" s="2"/>
      <c r="F231" s="2"/>
      <c r="G231" s="2"/>
    </row>
    <row r="232" spans="4:7" ht="14">
      <c r="D232" s="2"/>
      <c r="E232" s="2"/>
      <c r="F232" s="2"/>
      <c r="G232" s="2"/>
    </row>
    <row r="233" spans="4:7" ht="14">
      <c r="D233" s="2"/>
      <c r="E233" s="2"/>
      <c r="F233" s="2"/>
      <c r="G233" s="2"/>
    </row>
    <row r="234" spans="4:7" ht="14">
      <c r="D234" s="2"/>
      <c r="E234" s="2"/>
      <c r="F234" s="2"/>
      <c r="G234" s="2"/>
    </row>
    <row r="235" spans="4:7" ht="14">
      <c r="D235" s="2"/>
      <c r="E235" s="2"/>
      <c r="F235" s="2"/>
      <c r="G235" s="2"/>
    </row>
    <row r="236" spans="4:7" ht="14">
      <c r="D236" s="2"/>
      <c r="E236" s="2"/>
      <c r="F236" s="2"/>
      <c r="G236" s="2"/>
    </row>
    <row r="237" spans="4:7" ht="14">
      <c r="D237" s="2"/>
      <c r="E237" s="2"/>
      <c r="F237" s="2"/>
      <c r="G237" s="2"/>
    </row>
    <row r="238" spans="4:7" ht="14">
      <c r="D238" s="2"/>
      <c r="E238" s="2"/>
      <c r="F238" s="2"/>
      <c r="G238" s="2"/>
    </row>
    <row r="239" spans="4:7" ht="14">
      <c r="D239" s="2"/>
      <c r="E239" s="2"/>
      <c r="F239" s="2"/>
      <c r="G239" s="2"/>
    </row>
    <row r="240" spans="4:7" ht="14">
      <c r="D240" s="2"/>
      <c r="E240" s="2"/>
      <c r="F240" s="2"/>
      <c r="G240" s="2"/>
    </row>
    <row r="241" spans="4:7" ht="14">
      <c r="D241" s="2"/>
      <c r="E241" s="2"/>
      <c r="F241" s="2"/>
      <c r="G241" s="2"/>
    </row>
    <row r="242" spans="4:7" ht="14">
      <c r="D242" s="2"/>
      <c r="E242" s="2"/>
      <c r="F242" s="2"/>
      <c r="G242" s="2"/>
    </row>
    <row r="243" spans="4:7" ht="14">
      <c r="D243" s="2"/>
      <c r="E243" s="2"/>
      <c r="F243" s="2"/>
      <c r="G243" s="2"/>
    </row>
    <row r="244" spans="4:7" ht="14">
      <c r="D244" s="2"/>
      <c r="E244" s="2"/>
      <c r="F244" s="2"/>
      <c r="G244" s="2"/>
    </row>
    <row r="245" spans="4:7" ht="14">
      <c r="D245" s="2"/>
      <c r="E245" s="2"/>
      <c r="F245" s="2"/>
      <c r="G245" s="2"/>
    </row>
    <row r="246" spans="4:7" ht="14">
      <c r="D246" s="2"/>
      <c r="E246" s="2"/>
      <c r="F246" s="2"/>
      <c r="G246" s="2"/>
    </row>
    <row r="247" spans="4:7" ht="14">
      <c r="D247" s="2"/>
      <c r="E247" s="2"/>
      <c r="F247" s="2"/>
      <c r="G247" s="2"/>
    </row>
    <row r="248" spans="4:7" ht="14">
      <c r="D248" s="2"/>
      <c r="E248" s="2"/>
      <c r="F248" s="2"/>
      <c r="G248" s="2"/>
    </row>
    <row r="249" spans="4:7" ht="14">
      <c r="D249" s="2"/>
      <c r="E249" s="2"/>
      <c r="F249" s="2"/>
      <c r="G249" s="2"/>
    </row>
    <row r="250" spans="4:7" ht="14">
      <c r="D250" s="2"/>
      <c r="E250" s="2"/>
      <c r="F250" s="2"/>
      <c r="G250" s="2"/>
    </row>
    <row r="251" spans="4:7" ht="14">
      <c r="D251" s="2"/>
      <c r="E251" s="2"/>
      <c r="F251" s="2"/>
      <c r="G251" s="2"/>
    </row>
    <row r="252" spans="4:7" ht="14">
      <c r="D252" s="2"/>
      <c r="E252" s="2"/>
      <c r="F252" s="2"/>
      <c r="G252" s="2"/>
    </row>
    <row r="253" spans="4:7" ht="14">
      <c r="D253" s="2"/>
      <c r="E253" s="2"/>
      <c r="F253" s="2"/>
      <c r="G253" s="2"/>
    </row>
    <row r="254" spans="4:7" ht="14">
      <c r="D254" s="2"/>
      <c r="E254" s="2"/>
      <c r="F254" s="2"/>
      <c r="G254" s="2"/>
    </row>
    <row r="255" spans="4:7" ht="14">
      <c r="D255" s="2"/>
      <c r="E255" s="2"/>
      <c r="F255" s="2"/>
      <c r="G255" s="2"/>
    </row>
    <row r="256" spans="4:7" ht="14">
      <c r="D256" s="2"/>
      <c r="E256" s="2"/>
      <c r="F256" s="2"/>
      <c r="G256" s="2"/>
    </row>
    <row r="257" spans="4:7" ht="14">
      <c r="D257" s="2"/>
      <c r="E257" s="2"/>
      <c r="F257" s="2"/>
      <c r="G257" s="2"/>
    </row>
    <row r="258" spans="4:7" ht="14">
      <c r="D258" s="2"/>
      <c r="E258" s="2"/>
      <c r="F258" s="2"/>
      <c r="G258" s="2"/>
    </row>
    <row r="259" spans="4:7" ht="14">
      <c r="D259" s="2"/>
      <c r="E259" s="2"/>
      <c r="F259" s="2"/>
      <c r="G259" s="2"/>
    </row>
    <row r="260" spans="4:7" ht="14">
      <c r="D260" s="2"/>
      <c r="E260" s="2"/>
      <c r="F260" s="2"/>
      <c r="G260" s="2"/>
    </row>
    <row r="261" spans="4:7" ht="14">
      <c r="D261" s="2"/>
      <c r="E261" s="2"/>
      <c r="F261" s="2"/>
      <c r="G261" s="2"/>
    </row>
    <row r="262" spans="4:7" ht="14">
      <c r="D262" s="2"/>
      <c r="E262" s="2"/>
      <c r="F262" s="2"/>
      <c r="G262" s="2"/>
    </row>
    <row r="263" spans="4:7" ht="14">
      <c r="D263" s="2"/>
      <c r="E263" s="2"/>
      <c r="F263" s="2"/>
      <c r="G263" s="2"/>
    </row>
    <row r="264" spans="4:7" ht="14">
      <c r="D264" s="2"/>
      <c r="E264" s="2"/>
      <c r="F264" s="2"/>
      <c r="G264" s="2"/>
    </row>
    <row r="265" spans="4:7" ht="14">
      <c r="D265" s="2"/>
      <c r="E265" s="2"/>
      <c r="F265" s="2"/>
      <c r="G265" s="2"/>
    </row>
    <row r="266" spans="4:7" ht="14">
      <c r="D266" s="2"/>
      <c r="E266" s="2"/>
      <c r="F266" s="2"/>
      <c r="G266" s="2"/>
    </row>
    <row r="267" spans="4:7" ht="14">
      <c r="D267" s="2"/>
      <c r="E267" s="2"/>
      <c r="F267" s="2"/>
      <c r="G267" s="2"/>
    </row>
    <row r="268" spans="4:7" ht="14">
      <c r="D268" s="2"/>
      <c r="E268" s="2"/>
      <c r="F268" s="2"/>
      <c r="G268" s="2"/>
    </row>
    <row r="269" spans="4:7" ht="14">
      <c r="D269" s="2"/>
      <c r="E269" s="2"/>
      <c r="F269" s="2"/>
      <c r="G269" s="2"/>
    </row>
    <row r="270" spans="4:7" ht="14">
      <c r="D270" s="2"/>
      <c r="E270" s="2"/>
      <c r="F270" s="2"/>
      <c r="G270" s="2"/>
    </row>
    <row r="271" spans="4:7" ht="14">
      <c r="D271" s="2"/>
      <c r="E271" s="2"/>
      <c r="F271" s="2"/>
      <c r="G271" s="2"/>
    </row>
    <row r="272" spans="4:7" ht="14">
      <c r="D272" s="2"/>
      <c r="E272" s="2"/>
      <c r="F272" s="2"/>
      <c r="G272" s="2"/>
    </row>
    <row r="273" spans="4:7" ht="14">
      <c r="D273" s="2"/>
      <c r="E273" s="2"/>
      <c r="F273" s="2"/>
      <c r="G273" s="2"/>
    </row>
    <row r="274" spans="4:7" ht="14">
      <c r="D274" s="2"/>
      <c r="E274" s="2"/>
      <c r="F274" s="2"/>
      <c r="G274" s="2"/>
    </row>
    <row r="275" spans="4:7" ht="14">
      <c r="D275" s="2"/>
      <c r="E275" s="2"/>
      <c r="F275" s="2"/>
      <c r="G275" s="2"/>
    </row>
    <row r="276" spans="4:7" ht="14">
      <c r="D276" s="2"/>
      <c r="E276" s="2"/>
      <c r="F276" s="2"/>
      <c r="G276" s="2"/>
    </row>
    <row r="277" spans="4:7" ht="14">
      <c r="D277" s="2"/>
      <c r="E277" s="2"/>
      <c r="F277" s="2"/>
      <c r="G277" s="2"/>
    </row>
    <row r="278" spans="4:7" ht="14">
      <c r="D278" s="2"/>
      <c r="E278" s="2"/>
      <c r="F278" s="2"/>
      <c r="G278" s="2"/>
    </row>
    <row r="279" spans="4:7" ht="14">
      <c r="D279" s="2"/>
      <c r="E279" s="2"/>
      <c r="F279" s="2"/>
      <c r="G279" s="2"/>
    </row>
    <row r="280" spans="4:7" ht="14">
      <c r="D280" s="2"/>
      <c r="E280" s="2"/>
      <c r="F280" s="2"/>
      <c r="G280" s="2"/>
    </row>
    <row r="281" spans="4:7" ht="14">
      <c r="D281" s="2"/>
      <c r="E281" s="2"/>
      <c r="F281" s="2"/>
      <c r="G281" s="2"/>
    </row>
    <row r="282" spans="4:7" ht="14">
      <c r="D282" s="2"/>
      <c r="E282" s="2"/>
      <c r="F282" s="2"/>
      <c r="G282" s="2"/>
    </row>
    <row r="283" spans="4:7" ht="14">
      <c r="D283" s="2"/>
      <c r="E283" s="2"/>
      <c r="F283" s="2"/>
      <c r="G283" s="2"/>
    </row>
    <row r="284" spans="4:7" ht="14">
      <c r="D284" s="2"/>
      <c r="E284" s="2"/>
      <c r="F284" s="2"/>
      <c r="G284" s="2"/>
    </row>
    <row r="285" spans="4:7" ht="14">
      <c r="D285" s="2"/>
      <c r="E285" s="2"/>
      <c r="F285" s="2"/>
      <c r="G285" s="2"/>
    </row>
    <row r="286" spans="4:7" ht="14">
      <c r="D286" s="2"/>
      <c r="E286" s="2"/>
      <c r="F286" s="2"/>
      <c r="G286" s="2"/>
    </row>
    <row r="287" spans="4:7" ht="14">
      <c r="D287" s="2"/>
      <c r="E287" s="2"/>
      <c r="F287" s="2"/>
      <c r="G287" s="2"/>
    </row>
    <row r="288" spans="4:7" ht="14">
      <c r="D288" s="2"/>
      <c r="E288" s="2"/>
      <c r="F288" s="2"/>
      <c r="G288" s="2"/>
    </row>
    <row r="289" spans="4:7" ht="14">
      <c r="D289" s="2"/>
      <c r="E289" s="2"/>
      <c r="F289" s="2"/>
      <c r="G289" s="2"/>
    </row>
    <row r="290" spans="4:7" ht="14">
      <c r="D290" s="2"/>
      <c r="E290" s="2"/>
      <c r="F290" s="2"/>
      <c r="G290" s="2"/>
    </row>
    <row r="291" spans="4:7" ht="14">
      <c r="D291" s="2"/>
      <c r="E291" s="2"/>
      <c r="F291" s="2"/>
      <c r="G291" s="2"/>
    </row>
    <row r="292" spans="4:7" ht="14">
      <c r="D292" s="2"/>
      <c r="E292" s="2"/>
      <c r="F292" s="2"/>
      <c r="G292" s="2"/>
    </row>
    <row r="293" spans="4:7" ht="14">
      <c r="D293" s="2"/>
      <c r="E293" s="2"/>
      <c r="F293" s="2"/>
      <c r="G293" s="2"/>
    </row>
    <row r="294" spans="4:7" ht="14">
      <c r="D294" s="2"/>
      <c r="E294" s="2"/>
      <c r="F294" s="2"/>
      <c r="G294" s="2"/>
    </row>
    <row r="295" spans="4:7" ht="14">
      <c r="D295" s="2"/>
      <c r="E295" s="2"/>
      <c r="F295" s="2"/>
      <c r="G295" s="2"/>
    </row>
    <row r="296" spans="4:7" ht="14">
      <c r="D296" s="2"/>
      <c r="E296" s="2"/>
      <c r="F296" s="2"/>
      <c r="G296" s="2"/>
    </row>
    <row r="297" spans="4:7" ht="14">
      <c r="D297" s="2"/>
      <c r="E297" s="2"/>
      <c r="F297" s="2"/>
      <c r="G297" s="2"/>
    </row>
    <row r="298" spans="4:7" ht="14">
      <c r="D298" s="2"/>
      <c r="E298" s="2"/>
      <c r="F298" s="2"/>
      <c r="G298" s="2"/>
    </row>
    <row r="299" spans="4:7" ht="14">
      <c r="D299" s="2"/>
      <c r="E299" s="2"/>
      <c r="F299" s="2"/>
      <c r="G299" s="2"/>
    </row>
    <row r="300" spans="4:7" ht="14">
      <c r="D300" s="2"/>
      <c r="E300" s="2"/>
      <c r="F300" s="2"/>
      <c r="G300" s="2"/>
    </row>
    <row r="301" spans="4:7" ht="14">
      <c r="D301" s="2"/>
      <c r="E301" s="2"/>
      <c r="F301" s="2"/>
      <c r="G301" s="2"/>
    </row>
    <row r="302" spans="4:7" ht="14">
      <c r="D302" s="2"/>
      <c r="E302" s="2"/>
      <c r="F302" s="2"/>
      <c r="G302" s="2"/>
    </row>
    <row r="303" spans="4:7" ht="14">
      <c r="D303" s="2"/>
      <c r="E303" s="2"/>
      <c r="F303" s="2"/>
      <c r="G303" s="2"/>
    </row>
    <row r="304" spans="4:7" ht="14">
      <c r="D304" s="2"/>
      <c r="E304" s="2"/>
      <c r="F304" s="2"/>
      <c r="G304" s="2"/>
    </row>
    <row r="305" spans="4:7" ht="14">
      <c r="D305" s="2"/>
      <c r="E305" s="2"/>
      <c r="F305" s="2"/>
      <c r="G305" s="2"/>
    </row>
    <row r="306" spans="4:7" ht="14">
      <c r="D306" s="2"/>
      <c r="E306" s="2"/>
      <c r="F306" s="2"/>
      <c r="G306" s="2"/>
    </row>
    <row r="307" spans="4:7" ht="14">
      <c r="D307" s="2"/>
      <c r="E307" s="2"/>
      <c r="F307" s="2"/>
      <c r="G307" s="2"/>
    </row>
    <row r="308" spans="4:7" ht="14">
      <c r="D308" s="2"/>
      <c r="E308" s="2"/>
      <c r="F308" s="2"/>
      <c r="G308" s="2"/>
    </row>
    <row r="309" spans="4:7" ht="14">
      <c r="D309" s="2"/>
      <c r="E309" s="2"/>
      <c r="F309" s="2"/>
      <c r="G309" s="2"/>
    </row>
    <row r="310" spans="4:7" ht="14">
      <c r="D310" s="2"/>
      <c r="E310" s="2"/>
      <c r="F310" s="2"/>
      <c r="G310" s="2"/>
    </row>
    <row r="311" spans="4:7" ht="14">
      <c r="D311" s="2"/>
      <c r="E311" s="2"/>
      <c r="F311" s="2"/>
      <c r="G311" s="2"/>
    </row>
    <row r="312" spans="4:7" ht="14">
      <c r="D312" s="2"/>
      <c r="E312" s="2"/>
      <c r="F312" s="2"/>
      <c r="G312" s="2"/>
    </row>
    <row r="313" spans="4:7" ht="14">
      <c r="D313" s="2"/>
      <c r="E313" s="2"/>
      <c r="F313" s="2"/>
      <c r="G313" s="2"/>
    </row>
    <row r="314" spans="4:7" ht="14">
      <c r="D314" s="2"/>
      <c r="E314" s="2"/>
      <c r="F314" s="2"/>
      <c r="G314" s="2"/>
    </row>
    <row r="315" spans="4:7" ht="14">
      <c r="D315" s="2"/>
      <c r="E315" s="2"/>
      <c r="F315" s="2"/>
      <c r="G315" s="2"/>
    </row>
    <row r="316" spans="4:7" ht="14">
      <c r="D316" s="2"/>
      <c r="E316" s="2"/>
      <c r="F316" s="2"/>
      <c r="G316" s="2"/>
    </row>
    <row r="317" spans="4:7" ht="14">
      <c r="D317" s="2"/>
      <c r="E317" s="2"/>
      <c r="F317" s="2"/>
      <c r="G317" s="2"/>
    </row>
    <row r="318" spans="4:7" ht="14">
      <c r="D318" s="2"/>
      <c r="E318" s="2"/>
      <c r="F318" s="2"/>
      <c r="G318" s="2"/>
    </row>
    <row r="319" spans="4:7" ht="14">
      <c r="D319" s="2"/>
      <c r="E319" s="2"/>
      <c r="F319" s="2"/>
      <c r="G319" s="2"/>
    </row>
    <row r="320" spans="4:7" ht="14">
      <c r="D320" s="2"/>
      <c r="E320" s="2"/>
      <c r="F320" s="2"/>
      <c r="G320" s="2"/>
    </row>
    <row r="321" spans="4:7" ht="14">
      <c r="D321" s="2"/>
      <c r="E321" s="2"/>
      <c r="F321" s="2"/>
      <c r="G321" s="2"/>
    </row>
    <row r="322" spans="4:7" ht="14">
      <c r="D322" s="2"/>
      <c r="E322" s="2"/>
      <c r="F322" s="2"/>
      <c r="G322" s="2"/>
    </row>
    <row r="323" spans="4:7" ht="14">
      <c r="D323" s="2"/>
      <c r="E323" s="2"/>
      <c r="F323" s="2"/>
      <c r="G323" s="2"/>
    </row>
    <row r="324" spans="4:7" ht="14">
      <c r="D324" s="2"/>
      <c r="E324" s="2"/>
      <c r="F324" s="2"/>
      <c r="G324" s="2"/>
    </row>
    <row r="325" spans="4:7" ht="14">
      <c r="D325" s="2"/>
      <c r="E325" s="2"/>
      <c r="F325" s="2"/>
      <c r="G325" s="2"/>
    </row>
    <row r="326" spans="4:7" ht="14">
      <c r="D326" s="2"/>
      <c r="E326" s="2"/>
      <c r="F326" s="2"/>
      <c r="G326" s="2"/>
    </row>
    <row r="327" spans="4:7" ht="14">
      <c r="D327" s="2"/>
      <c r="E327" s="2"/>
      <c r="F327" s="2"/>
      <c r="G327" s="2"/>
    </row>
    <row r="328" spans="4:7" ht="14">
      <c r="D328" s="2"/>
      <c r="E328" s="2"/>
      <c r="F328" s="2"/>
      <c r="G328" s="2"/>
    </row>
    <row r="329" spans="4:7" ht="14">
      <c r="D329" s="2"/>
      <c r="E329" s="2"/>
      <c r="F329" s="2"/>
      <c r="G329" s="2"/>
    </row>
    <row r="330" spans="4:7" ht="14">
      <c r="D330" s="2"/>
      <c r="E330" s="2"/>
      <c r="F330" s="2"/>
      <c r="G330" s="2"/>
    </row>
    <row r="331" spans="4:7" ht="14">
      <c r="D331" s="2"/>
      <c r="E331" s="2"/>
      <c r="F331" s="2"/>
      <c r="G331" s="2"/>
    </row>
    <row r="332" spans="4:7" ht="14">
      <c r="D332" s="2"/>
      <c r="E332" s="2"/>
      <c r="F332" s="2"/>
      <c r="G332" s="2"/>
    </row>
    <row r="333" spans="4:7" ht="14">
      <c r="D333" s="2"/>
      <c r="E333" s="2"/>
      <c r="F333" s="2"/>
      <c r="G333" s="2"/>
    </row>
    <row r="334" spans="4:7" ht="14">
      <c r="D334" s="2"/>
      <c r="E334" s="2"/>
      <c r="F334" s="2"/>
      <c r="G334" s="2"/>
    </row>
    <row r="335" spans="4:7" ht="14">
      <c r="D335" s="2"/>
      <c r="E335" s="2"/>
      <c r="F335" s="2"/>
      <c r="G335" s="2"/>
    </row>
    <row r="336" spans="4:7" ht="14">
      <c r="D336" s="2"/>
      <c r="E336" s="2"/>
      <c r="F336" s="2"/>
      <c r="G336" s="2"/>
    </row>
    <row r="337" spans="4:7" ht="14">
      <c r="D337" s="2"/>
      <c r="E337" s="2"/>
      <c r="F337" s="2"/>
      <c r="G337" s="2"/>
    </row>
    <row r="338" spans="4:7" ht="14">
      <c r="D338" s="2"/>
      <c r="E338" s="2"/>
      <c r="F338" s="2"/>
      <c r="G338" s="2"/>
    </row>
    <row r="339" spans="4:7" ht="14">
      <c r="D339" s="2"/>
      <c r="E339" s="2"/>
      <c r="F339" s="2"/>
      <c r="G339" s="2"/>
    </row>
    <row r="340" spans="4:7" ht="14">
      <c r="D340" s="2"/>
      <c r="E340" s="2"/>
      <c r="F340" s="2"/>
      <c r="G340" s="2"/>
    </row>
    <row r="341" spans="4:7" ht="14">
      <c r="D341" s="2"/>
      <c r="E341" s="2"/>
      <c r="F341" s="2"/>
      <c r="G341" s="2"/>
    </row>
    <row r="342" spans="4:7" ht="14">
      <c r="D342" s="2"/>
      <c r="E342" s="2"/>
      <c r="F342" s="2"/>
      <c r="G342" s="2"/>
    </row>
    <row r="343" spans="4:7" ht="14">
      <c r="D343" s="2"/>
      <c r="E343" s="2"/>
      <c r="F343" s="2"/>
      <c r="G343" s="2"/>
    </row>
    <row r="344" spans="4:7" ht="14">
      <c r="D344" s="2"/>
      <c r="E344" s="2"/>
      <c r="F344" s="2"/>
      <c r="G344" s="2"/>
    </row>
    <row r="345" spans="4:7" ht="14">
      <c r="D345" s="2"/>
      <c r="E345" s="2"/>
      <c r="F345" s="2"/>
      <c r="G345" s="2"/>
    </row>
    <row r="346" spans="4:7" ht="14">
      <c r="D346" s="2"/>
      <c r="E346" s="2"/>
      <c r="F346" s="2"/>
      <c r="G346" s="2"/>
    </row>
    <row r="347" spans="4:7" ht="14">
      <c r="D347" s="2"/>
      <c r="E347" s="2"/>
      <c r="F347" s="2"/>
      <c r="G347" s="2"/>
    </row>
    <row r="348" spans="4:7" ht="14">
      <c r="D348" s="2"/>
      <c r="E348" s="2"/>
      <c r="F348" s="2"/>
      <c r="G348" s="2"/>
    </row>
    <row r="349" spans="4:7" ht="14">
      <c r="D349" s="2"/>
      <c r="E349" s="2"/>
      <c r="F349" s="2"/>
      <c r="G349" s="2"/>
    </row>
    <row r="350" spans="4:7" ht="14">
      <c r="D350" s="2"/>
      <c r="E350" s="2"/>
      <c r="F350" s="2"/>
      <c r="G350" s="2"/>
    </row>
    <row r="351" spans="4:7" ht="14">
      <c r="D351" s="2"/>
      <c r="E351" s="2"/>
      <c r="F351" s="2"/>
      <c r="G351" s="2"/>
    </row>
    <row r="352" spans="4:7" ht="14">
      <c r="D352" s="2"/>
      <c r="E352" s="2"/>
      <c r="F352" s="2"/>
      <c r="G352" s="2"/>
    </row>
    <row r="353" spans="4:7" ht="14">
      <c r="D353" s="2"/>
      <c r="E353" s="2"/>
      <c r="F353" s="2"/>
      <c r="G353" s="2"/>
    </row>
    <row r="354" spans="4:7" ht="14">
      <c r="D354" s="2"/>
      <c r="E354" s="2"/>
      <c r="F354" s="2"/>
      <c r="G354" s="2"/>
    </row>
    <row r="355" spans="4:7" ht="14">
      <c r="D355" s="2"/>
      <c r="E355" s="2"/>
      <c r="F355" s="2"/>
      <c r="G355" s="2"/>
    </row>
    <row r="356" spans="4:7" ht="14">
      <c r="D356" s="2"/>
      <c r="E356" s="2"/>
      <c r="F356" s="2"/>
      <c r="G356" s="2"/>
    </row>
    <row r="357" spans="4:7" ht="14">
      <c r="D357" s="2"/>
      <c r="E357" s="2"/>
      <c r="F357" s="2"/>
      <c r="G357" s="2"/>
    </row>
    <row r="358" spans="4:7" ht="14">
      <c r="D358" s="2"/>
      <c r="E358" s="2"/>
      <c r="F358" s="2"/>
      <c r="G358" s="2"/>
    </row>
    <row r="359" spans="4:7" ht="14">
      <c r="D359" s="2"/>
      <c r="E359" s="2"/>
      <c r="F359" s="2"/>
      <c r="G359" s="2"/>
    </row>
    <row r="360" spans="4:7" ht="14">
      <c r="D360" s="2"/>
      <c r="E360" s="2"/>
      <c r="F360" s="2"/>
      <c r="G360" s="2"/>
    </row>
    <row r="361" spans="4:7" ht="14">
      <c r="D361" s="2"/>
      <c r="E361" s="2"/>
      <c r="F361" s="2"/>
      <c r="G361" s="2"/>
    </row>
    <row r="362" spans="4:7" ht="14">
      <c r="D362" s="2"/>
      <c r="E362" s="2"/>
      <c r="F362" s="2"/>
      <c r="G362" s="2"/>
    </row>
    <row r="363" spans="4:7" ht="14">
      <c r="D363" s="2"/>
      <c r="E363" s="2"/>
      <c r="F363" s="2"/>
      <c r="G363" s="2"/>
    </row>
    <row r="364" spans="4:7" ht="14">
      <c r="D364" s="2"/>
      <c r="E364" s="2"/>
      <c r="F364" s="2"/>
      <c r="G364" s="2"/>
    </row>
    <row r="365" spans="4:7" ht="14">
      <c r="D365" s="2"/>
      <c r="E365" s="2"/>
      <c r="F365" s="2"/>
      <c r="G365" s="2"/>
    </row>
    <row r="366" spans="4:7" ht="14">
      <c r="D366" s="2"/>
      <c r="E366" s="2"/>
      <c r="F366" s="2"/>
      <c r="G366" s="2"/>
    </row>
    <row r="367" spans="4:7" ht="14">
      <c r="D367" s="2"/>
      <c r="E367" s="2"/>
      <c r="F367" s="2"/>
      <c r="G367" s="2"/>
    </row>
    <row r="368" spans="4:7" ht="14">
      <c r="D368" s="2"/>
      <c r="E368" s="2"/>
      <c r="F368" s="2"/>
      <c r="G368" s="2"/>
    </row>
    <row r="369" spans="4:7" ht="14">
      <c r="D369" s="2"/>
      <c r="E369" s="2"/>
      <c r="F369" s="2"/>
      <c r="G369" s="2"/>
    </row>
    <row r="370" spans="4:7" ht="14">
      <c r="D370" s="2"/>
      <c r="E370" s="2"/>
      <c r="F370" s="2"/>
      <c r="G370" s="2"/>
    </row>
    <row r="371" spans="4:7" ht="14">
      <c r="D371" s="2"/>
      <c r="E371" s="2"/>
      <c r="F371" s="2"/>
      <c r="G371" s="2"/>
    </row>
    <row r="372" spans="4:7" ht="14">
      <c r="D372" s="2"/>
      <c r="E372" s="2"/>
      <c r="F372" s="2"/>
      <c r="G372" s="2"/>
    </row>
    <row r="373" spans="4:7" ht="14">
      <c r="D373" s="2"/>
      <c r="E373" s="2"/>
      <c r="F373" s="2"/>
      <c r="G373" s="2"/>
    </row>
    <row r="374" spans="4:7" ht="14">
      <c r="D374" s="2"/>
      <c r="E374" s="2"/>
      <c r="F374" s="2"/>
      <c r="G374" s="2"/>
    </row>
    <row r="375" spans="4:7" ht="14">
      <c r="D375" s="2"/>
      <c r="E375" s="2"/>
      <c r="F375" s="2"/>
      <c r="G375" s="2"/>
    </row>
    <row r="376" spans="4:7" ht="14">
      <c r="D376" s="2"/>
      <c r="E376" s="2"/>
      <c r="F376" s="2"/>
      <c r="G376" s="2"/>
    </row>
    <row r="377" spans="4:7" ht="14">
      <c r="D377" s="2"/>
      <c r="E377" s="2"/>
      <c r="F377" s="2"/>
      <c r="G377" s="2"/>
    </row>
    <row r="378" spans="4:7" ht="14">
      <c r="D378" s="2"/>
      <c r="E378" s="2"/>
      <c r="F378" s="2"/>
      <c r="G378" s="2"/>
    </row>
    <row r="379" spans="4:7" ht="14">
      <c r="D379" s="2"/>
      <c r="E379" s="2"/>
      <c r="F379" s="2"/>
      <c r="G379" s="2"/>
    </row>
    <row r="380" spans="4:7" ht="14">
      <c r="D380" s="2"/>
      <c r="E380" s="2"/>
      <c r="F380" s="2"/>
      <c r="G380" s="2"/>
    </row>
    <row r="381" spans="4:7" ht="14">
      <c r="D381" s="2"/>
      <c r="E381" s="2"/>
      <c r="F381" s="2"/>
      <c r="G381" s="2"/>
    </row>
    <row r="382" spans="4:7" ht="14">
      <c r="D382" s="2"/>
      <c r="E382" s="2"/>
      <c r="F382" s="2"/>
      <c r="G382" s="2"/>
    </row>
    <row r="383" spans="4:7" ht="14">
      <c r="D383" s="2"/>
      <c r="E383" s="2"/>
      <c r="F383" s="2"/>
      <c r="G383" s="2"/>
    </row>
    <row r="384" spans="4:7" ht="14">
      <c r="D384" s="2"/>
      <c r="E384" s="2"/>
      <c r="F384" s="2"/>
      <c r="G384" s="2"/>
    </row>
    <row r="385" spans="4:7" ht="14">
      <c r="D385" s="2"/>
      <c r="E385" s="2"/>
      <c r="F385" s="2"/>
      <c r="G385" s="2"/>
    </row>
    <row r="386" spans="4:7" ht="14">
      <c r="D386" s="2"/>
      <c r="E386" s="2"/>
      <c r="F386" s="2"/>
      <c r="G386" s="2"/>
    </row>
    <row r="387" spans="4:7" ht="14">
      <c r="D387" s="2"/>
      <c r="E387" s="2"/>
      <c r="F387" s="2"/>
      <c r="G387" s="2"/>
    </row>
    <row r="388" spans="4:7" ht="14">
      <c r="D388" s="2"/>
      <c r="E388" s="2"/>
      <c r="F388" s="2"/>
      <c r="G388" s="2"/>
    </row>
    <row r="389" spans="4:7" ht="14">
      <c r="D389" s="2"/>
      <c r="E389" s="2"/>
      <c r="F389" s="2"/>
      <c r="G389" s="2"/>
    </row>
    <row r="390" spans="4:7" ht="14">
      <c r="D390" s="2"/>
      <c r="E390" s="2"/>
      <c r="F390" s="2"/>
      <c r="G390" s="2"/>
    </row>
    <row r="391" spans="4:7" ht="14">
      <c r="D391" s="2"/>
      <c r="E391" s="2"/>
      <c r="F391" s="2"/>
      <c r="G391" s="2"/>
    </row>
    <row r="392" spans="4:7" ht="14">
      <c r="D392" s="2"/>
      <c r="E392" s="2"/>
      <c r="F392" s="2"/>
      <c r="G392" s="2"/>
    </row>
    <row r="393" spans="4:7" ht="14">
      <c r="D393" s="2"/>
      <c r="E393" s="2"/>
      <c r="F393" s="2"/>
      <c r="G393" s="2"/>
    </row>
    <row r="394" spans="4:7" ht="14">
      <c r="D394" s="2"/>
      <c r="E394" s="2"/>
      <c r="F394" s="2"/>
      <c r="G394" s="2"/>
    </row>
    <row r="395" spans="4:7" ht="14">
      <c r="D395" s="2"/>
      <c r="E395" s="2"/>
      <c r="F395" s="2"/>
      <c r="G395" s="2"/>
    </row>
    <row r="396" spans="4:7" ht="14">
      <c r="D396" s="2"/>
      <c r="E396" s="2"/>
      <c r="F396" s="2"/>
      <c r="G396" s="2"/>
    </row>
    <row r="397" spans="4:7" ht="14">
      <c r="D397" s="2"/>
      <c r="E397" s="2"/>
      <c r="F397" s="2"/>
      <c r="G397" s="2"/>
    </row>
    <row r="398" spans="4:7" ht="14">
      <c r="D398" s="2"/>
      <c r="E398" s="2"/>
      <c r="F398" s="2"/>
      <c r="G398" s="2"/>
    </row>
    <row r="399" spans="4:7" ht="14">
      <c r="D399" s="2"/>
      <c r="E399" s="2"/>
      <c r="F399" s="2"/>
      <c r="G399" s="2"/>
    </row>
    <row r="400" spans="4:7" ht="14">
      <c r="D400" s="2"/>
      <c r="E400" s="2"/>
      <c r="F400" s="2"/>
      <c r="G400" s="2"/>
    </row>
    <row r="401" spans="4:7" ht="14">
      <c r="D401" s="2"/>
      <c r="E401" s="2"/>
      <c r="F401" s="2"/>
      <c r="G401" s="2"/>
    </row>
    <row r="402" spans="4:7" ht="14">
      <c r="D402" s="2"/>
      <c r="E402" s="2"/>
      <c r="F402" s="2"/>
      <c r="G402" s="2"/>
    </row>
    <row r="403" spans="4:7" ht="14">
      <c r="D403" s="2"/>
      <c r="E403" s="2"/>
      <c r="F403" s="2"/>
      <c r="G403" s="2"/>
    </row>
    <row r="404" spans="4:7" ht="14">
      <c r="D404" s="2"/>
      <c r="E404" s="2"/>
      <c r="F404" s="2"/>
      <c r="G404" s="2"/>
    </row>
    <row r="405" spans="4:7" ht="14">
      <c r="D405" s="2"/>
      <c r="E405" s="2"/>
      <c r="F405" s="2"/>
      <c r="G405" s="2"/>
    </row>
    <row r="406" spans="4:7" ht="14">
      <c r="D406" s="2"/>
      <c r="E406" s="2"/>
      <c r="F406" s="2"/>
      <c r="G406" s="2"/>
    </row>
    <row r="407" spans="4:7" ht="14">
      <c r="D407" s="2"/>
      <c r="E407" s="2"/>
      <c r="F407" s="2"/>
      <c r="G407" s="2"/>
    </row>
    <row r="408" spans="4:7" ht="14">
      <c r="D408" s="2"/>
      <c r="E408" s="2"/>
      <c r="F408" s="2"/>
      <c r="G408" s="2"/>
    </row>
    <row r="409" spans="4:7" ht="14">
      <c r="D409" s="2"/>
      <c r="E409" s="2"/>
      <c r="F409" s="2"/>
      <c r="G409" s="2"/>
    </row>
    <row r="410" spans="4:7" ht="14">
      <c r="D410" s="2"/>
      <c r="E410" s="2"/>
      <c r="F410" s="2"/>
      <c r="G410" s="2"/>
    </row>
    <row r="411" spans="4:7" ht="14">
      <c r="D411" s="2"/>
      <c r="E411" s="2"/>
      <c r="F411" s="2"/>
      <c r="G411" s="2"/>
    </row>
    <row r="412" spans="4:7" ht="14">
      <c r="D412" s="2"/>
      <c r="E412" s="2"/>
      <c r="F412" s="2"/>
      <c r="G412" s="2"/>
    </row>
    <row r="413" spans="4:7" ht="14">
      <c r="D413" s="2"/>
      <c r="E413" s="2"/>
      <c r="F413" s="2"/>
      <c r="G413" s="2"/>
    </row>
    <row r="414" spans="4:7" ht="14">
      <c r="D414" s="2"/>
      <c r="E414" s="2"/>
      <c r="F414" s="2"/>
      <c r="G414" s="2"/>
    </row>
    <row r="415" spans="4:7" ht="14">
      <c r="D415" s="2"/>
      <c r="E415" s="2"/>
      <c r="F415" s="2"/>
      <c r="G415" s="2"/>
    </row>
    <row r="416" spans="4:7" ht="14">
      <c r="D416" s="2"/>
      <c r="E416" s="2"/>
      <c r="F416" s="2"/>
      <c r="G416" s="2"/>
    </row>
    <row r="417" spans="4:7" ht="14">
      <c r="D417" s="2"/>
      <c r="E417" s="2"/>
      <c r="F417" s="2"/>
      <c r="G417" s="2"/>
    </row>
    <row r="418" spans="4:7" ht="14">
      <c r="D418" s="2"/>
      <c r="E418" s="2"/>
      <c r="F418" s="2"/>
      <c r="G418" s="2"/>
    </row>
    <row r="419" spans="4:7" ht="14">
      <c r="D419" s="2"/>
      <c r="E419" s="2"/>
      <c r="F419" s="2"/>
      <c r="G419" s="2"/>
    </row>
    <row r="420" spans="4:7" ht="14">
      <c r="D420" s="2"/>
      <c r="E420" s="2"/>
      <c r="F420" s="2"/>
      <c r="G420" s="2"/>
    </row>
    <row r="421" spans="4:7" ht="14">
      <c r="D421" s="2"/>
      <c r="E421" s="2"/>
      <c r="F421" s="2"/>
      <c r="G421" s="2"/>
    </row>
    <row r="422" spans="4:7" ht="14">
      <c r="D422" s="2"/>
      <c r="E422" s="2"/>
      <c r="F422" s="2"/>
      <c r="G422" s="2"/>
    </row>
    <row r="423" spans="4:7" ht="14">
      <c r="D423" s="2"/>
      <c r="E423" s="2"/>
      <c r="F423" s="2"/>
      <c r="G423" s="2"/>
    </row>
    <row r="424" spans="4:7" ht="14">
      <c r="D424" s="2"/>
      <c r="E424" s="2"/>
      <c r="F424" s="2"/>
      <c r="G424" s="2"/>
    </row>
    <row r="425" spans="4:7" ht="14">
      <c r="D425" s="2"/>
      <c r="E425" s="2"/>
      <c r="F425" s="2"/>
      <c r="G425" s="2"/>
    </row>
    <row r="426" spans="4:7" ht="14">
      <c r="D426" s="2"/>
      <c r="E426" s="2"/>
      <c r="F426" s="2"/>
      <c r="G426" s="2"/>
    </row>
    <row r="427" spans="4:7" ht="14">
      <c r="D427" s="2"/>
      <c r="E427" s="2"/>
      <c r="F427" s="2"/>
      <c r="G427" s="2"/>
    </row>
    <row r="428" spans="4:7" ht="14">
      <c r="D428" s="2"/>
      <c r="E428" s="2"/>
      <c r="F428" s="2"/>
      <c r="G428" s="2"/>
    </row>
    <row r="429" spans="4:7" ht="14">
      <c r="D429" s="2"/>
      <c r="E429" s="2"/>
      <c r="F429" s="2"/>
      <c r="G429" s="2"/>
    </row>
    <row r="430" spans="4:7" ht="14">
      <c r="D430" s="2"/>
      <c r="E430" s="2"/>
      <c r="F430" s="2"/>
      <c r="G430" s="2"/>
    </row>
    <row r="431" spans="4:7" ht="14">
      <c r="D431" s="2"/>
      <c r="E431" s="2"/>
      <c r="F431" s="2"/>
      <c r="G431" s="2"/>
    </row>
    <row r="432" spans="4:7" ht="14">
      <c r="D432" s="2"/>
      <c r="E432" s="2"/>
      <c r="F432" s="2"/>
      <c r="G432" s="2"/>
    </row>
    <row r="433" spans="4:7" ht="14">
      <c r="D433" s="2"/>
      <c r="E433" s="2"/>
      <c r="F433" s="2"/>
      <c r="G433" s="2"/>
    </row>
    <row r="434" spans="4:7" ht="14">
      <c r="D434" s="2"/>
      <c r="E434" s="2"/>
      <c r="F434" s="2"/>
      <c r="G434" s="2"/>
    </row>
    <row r="435" spans="4:7" ht="14">
      <c r="D435" s="2"/>
      <c r="E435" s="2"/>
      <c r="F435" s="2"/>
      <c r="G435" s="2"/>
    </row>
    <row r="436" spans="4:7" ht="14">
      <c r="D436" s="2"/>
      <c r="E436" s="2"/>
      <c r="F436" s="2"/>
      <c r="G436" s="2"/>
    </row>
    <row r="437" spans="4:7" ht="14">
      <c r="D437" s="2"/>
      <c r="E437" s="2"/>
      <c r="F437" s="2"/>
      <c r="G437" s="2"/>
    </row>
    <row r="438" spans="4:7" ht="14">
      <c r="D438" s="2"/>
      <c r="E438" s="2"/>
      <c r="F438" s="2"/>
      <c r="G438" s="2"/>
    </row>
    <row r="439" spans="4:7" ht="14">
      <c r="D439" s="2"/>
      <c r="E439" s="2"/>
      <c r="F439" s="2"/>
      <c r="G439" s="2"/>
    </row>
    <row r="440" spans="4:7" ht="14">
      <c r="D440" s="2"/>
      <c r="E440" s="2"/>
      <c r="F440" s="2"/>
      <c r="G440" s="2"/>
    </row>
    <row r="441" spans="4:7" ht="14">
      <c r="D441" s="2"/>
      <c r="E441" s="2"/>
      <c r="F441" s="2"/>
      <c r="G441" s="2"/>
    </row>
    <row r="442" spans="4:7" ht="14">
      <c r="D442" s="2"/>
      <c r="E442" s="2"/>
      <c r="F442" s="2"/>
      <c r="G442" s="2"/>
    </row>
    <row r="443" spans="4:7" ht="14">
      <c r="D443" s="2"/>
      <c r="E443" s="2"/>
      <c r="F443" s="2"/>
      <c r="G443" s="2"/>
    </row>
    <row r="444" spans="4:7" ht="14">
      <c r="D444" s="2"/>
      <c r="E444" s="2"/>
      <c r="F444" s="2"/>
      <c r="G444" s="2"/>
    </row>
    <row r="445" spans="4:7" ht="14">
      <c r="D445" s="2"/>
      <c r="E445" s="2"/>
      <c r="F445" s="2"/>
      <c r="G445" s="2"/>
    </row>
    <row r="446" spans="4:7" ht="14">
      <c r="D446" s="2"/>
      <c r="E446" s="2"/>
      <c r="F446" s="2"/>
      <c r="G446" s="2"/>
    </row>
    <row r="447" spans="4:7" ht="14">
      <c r="D447" s="2"/>
      <c r="E447" s="2"/>
      <c r="F447" s="2"/>
      <c r="G447" s="2"/>
    </row>
    <row r="448" spans="4:7" ht="14">
      <c r="D448" s="2"/>
      <c r="E448" s="2"/>
      <c r="F448" s="2"/>
      <c r="G448" s="2"/>
    </row>
    <row r="449" spans="4:7" ht="14">
      <c r="D449" s="2"/>
      <c r="E449" s="2"/>
      <c r="F449" s="2"/>
      <c r="G449" s="2"/>
    </row>
    <row r="450" spans="4:7" ht="14">
      <c r="D450" s="2"/>
      <c r="E450" s="2"/>
      <c r="F450" s="2"/>
      <c r="G450" s="2"/>
    </row>
    <row r="451" spans="4:7" ht="14">
      <c r="D451" s="2"/>
      <c r="E451" s="2"/>
      <c r="F451" s="2"/>
      <c r="G451" s="2"/>
    </row>
    <row r="452" spans="4:7" ht="14">
      <c r="D452" s="2"/>
      <c r="E452" s="2"/>
      <c r="F452" s="2"/>
      <c r="G452" s="2"/>
    </row>
    <row r="453" spans="4:7" ht="14">
      <c r="D453" s="2"/>
      <c r="E453" s="2"/>
      <c r="F453" s="2"/>
      <c r="G453" s="2"/>
    </row>
    <row r="454" spans="4:7" ht="14">
      <c r="D454" s="2"/>
      <c r="E454" s="2"/>
      <c r="F454" s="2"/>
      <c r="G454" s="2"/>
    </row>
    <row r="455" spans="4:7" ht="14">
      <c r="D455" s="2"/>
      <c r="E455" s="2"/>
      <c r="F455" s="2"/>
      <c r="G455" s="2"/>
    </row>
    <row r="456" spans="4:7" ht="14">
      <c r="D456" s="2"/>
      <c r="E456" s="2"/>
      <c r="F456" s="2"/>
      <c r="G456" s="2"/>
    </row>
    <row r="457" spans="4:7" ht="14">
      <c r="D457" s="2"/>
      <c r="E457" s="2"/>
      <c r="F457" s="2"/>
      <c r="G457" s="2"/>
    </row>
    <row r="458" spans="4:7" ht="14">
      <c r="D458" s="2"/>
      <c r="E458" s="2"/>
      <c r="F458" s="2"/>
      <c r="G458" s="2"/>
    </row>
    <row r="459" spans="4:7" ht="14">
      <c r="D459" s="2"/>
      <c r="E459" s="2"/>
      <c r="F459" s="2"/>
      <c r="G459" s="2"/>
    </row>
    <row r="460" spans="4:7" ht="14">
      <c r="D460" s="2"/>
      <c r="E460" s="2"/>
      <c r="F460" s="2"/>
      <c r="G460" s="2"/>
    </row>
    <row r="461" spans="4:7" ht="14">
      <c r="D461" s="2"/>
      <c r="E461" s="2"/>
      <c r="F461" s="2"/>
      <c r="G461" s="2"/>
    </row>
    <row r="462" spans="4:7" ht="14">
      <c r="D462" s="2"/>
      <c r="E462" s="2"/>
      <c r="F462" s="2"/>
      <c r="G462" s="2"/>
    </row>
    <row r="463" spans="4:7" ht="14">
      <c r="D463" s="2"/>
      <c r="E463" s="2"/>
      <c r="F463" s="2"/>
      <c r="G463" s="2"/>
    </row>
    <row r="464" spans="4:7" ht="14">
      <c r="D464" s="2"/>
      <c r="E464" s="2"/>
      <c r="F464" s="2"/>
      <c r="G464" s="2"/>
    </row>
    <row r="465" spans="4:7" ht="14">
      <c r="D465" s="2"/>
      <c r="E465" s="2"/>
      <c r="F465" s="2"/>
      <c r="G465" s="2"/>
    </row>
    <row r="466" spans="4:7" ht="14">
      <c r="D466" s="2"/>
      <c r="E466" s="2"/>
      <c r="F466" s="2"/>
      <c r="G466" s="2"/>
    </row>
    <row r="467" spans="4:7" ht="14">
      <c r="D467" s="2"/>
      <c r="E467" s="2"/>
      <c r="F467" s="2"/>
      <c r="G467" s="2"/>
    </row>
    <row r="468" spans="4:7" ht="14">
      <c r="D468" s="2"/>
      <c r="E468" s="2"/>
      <c r="F468" s="2"/>
      <c r="G468" s="2"/>
    </row>
    <row r="469" spans="4:7" ht="14">
      <c r="D469" s="2"/>
      <c r="E469" s="2"/>
      <c r="F469" s="2"/>
      <c r="G469" s="2"/>
    </row>
    <row r="470" spans="4:7" ht="14">
      <c r="D470" s="2"/>
      <c r="E470" s="2"/>
      <c r="F470" s="2"/>
      <c r="G470" s="2"/>
    </row>
    <row r="471" spans="4:7" ht="14">
      <c r="D471" s="2"/>
      <c r="E471" s="2"/>
      <c r="F471" s="2"/>
      <c r="G471" s="2"/>
    </row>
    <row r="472" spans="4:7" ht="14">
      <c r="D472" s="2"/>
      <c r="E472" s="2"/>
      <c r="F472" s="2"/>
      <c r="G472" s="2"/>
    </row>
    <row r="473" spans="4:7" ht="14">
      <c r="D473" s="2"/>
      <c r="E473" s="2"/>
      <c r="F473" s="2"/>
      <c r="G473" s="2"/>
    </row>
    <row r="474" spans="4:7" ht="14">
      <c r="D474" s="2"/>
      <c r="E474" s="2"/>
      <c r="F474" s="2"/>
      <c r="G474" s="2"/>
    </row>
    <row r="475" spans="4:7" ht="14">
      <c r="D475" s="2"/>
      <c r="E475" s="2"/>
      <c r="F475" s="2"/>
      <c r="G475" s="2"/>
    </row>
    <row r="476" spans="4:7" ht="14">
      <c r="D476" s="2"/>
      <c r="E476" s="2"/>
      <c r="F476" s="2"/>
      <c r="G476" s="2"/>
    </row>
    <row r="477" spans="4:7" ht="14">
      <c r="D477" s="2"/>
      <c r="E477" s="2"/>
      <c r="F477" s="2"/>
      <c r="G477" s="2"/>
    </row>
    <row r="478" spans="4:7" ht="14">
      <c r="D478" s="2"/>
      <c r="E478" s="2"/>
      <c r="F478" s="2"/>
      <c r="G478" s="2"/>
    </row>
    <row r="479" spans="4:7" ht="14">
      <c r="D479" s="2"/>
      <c r="E479" s="2"/>
      <c r="F479" s="2"/>
      <c r="G479" s="2"/>
    </row>
    <row r="480" spans="4:7" ht="14">
      <c r="D480" s="2"/>
      <c r="E480" s="2"/>
      <c r="F480" s="2"/>
      <c r="G480" s="2"/>
    </row>
    <row r="481" spans="4:7" ht="14">
      <c r="D481" s="2"/>
      <c r="E481" s="2"/>
      <c r="F481" s="2"/>
      <c r="G481" s="2"/>
    </row>
    <row r="482" spans="4:7" ht="14">
      <c r="D482" s="2"/>
      <c r="E482" s="2"/>
      <c r="F482" s="2"/>
      <c r="G482" s="2"/>
    </row>
    <row r="483" spans="4:7" ht="14">
      <c r="D483" s="2"/>
      <c r="E483" s="2"/>
      <c r="F483" s="2"/>
      <c r="G483" s="2"/>
    </row>
    <row r="484" spans="4:7" ht="14">
      <c r="D484" s="2"/>
      <c r="E484" s="2"/>
      <c r="F484" s="2"/>
      <c r="G484" s="2"/>
    </row>
    <row r="485" spans="4:7" ht="14">
      <c r="D485" s="2"/>
      <c r="E485" s="2"/>
      <c r="F485" s="2"/>
      <c r="G485" s="2"/>
    </row>
    <row r="486" spans="4:7" ht="14">
      <c r="D486" s="2"/>
      <c r="E486" s="2"/>
      <c r="F486" s="2"/>
      <c r="G486" s="2"/>
    </row>
    <row r="487" spans="4:7" ht="14">
      <c r="D487" s="2"/>
      <c r="E487" s="2"/>
      <c r="F487" s="2"/>
      <c r="G487" s="2"/>
    </row>
    <row r="488" spans="4:7" ht="14">
      <c r="D488" s="2"/>
      <c r="E488" s="2"/>
      <c r="F488" s="2"/>
      <c r="G488" s="2"/>
    </row>
    <row r="489" spans="4:7" ht="14">
      <c r="D489" s="2"/>
      <c r="E489" s="2"/>
      <c r="F489" s="2"/>
      <c r="G489" s="2"/>
    </row>
    <row r="490" spans="4:7" ht="14">
      <c r="D490" s="2"/>
      <c r="E490" s="2"/>
      <c r="F490" s="2"/>
      <c r="G490" s="2"/>
    </row>
    <row r="491" spans="4:7" ht="14">
      <c r="D491" s="2"/>
      <c r="E491" s="2"/>
      <c r="F491" s="2"/>
      <c r="G491" s="2"/>
    </row>
    <row r="492" spans="4:7" ht="14">
      <c r="D492" s="2"/>
      <c r="E492" s="2"/>
      <c r="F492" s="2"/>
      <c r="G492" s="2"/>
    </row>
    <row r="493" spans="4:7" ht="14">
      <c r="D493" s="2"/>
      <c r="E493" s="2"/>
      <c r="F493" s="2"/>
      <c r="G493" s="2"/>
    </row>
    <row r="494" spans="4:7" ht="14">
      <c r="D494" s="2"/>
      <c r="E494" s="2"/>
      <c r="F494" s="2"/>
      <c r="G494" s="2"/>
    </row>
    <row r="495" spans="4:7" ht="14">
      <c r="D495" s="2"/>
      <c r="E495" s="2"/>
      <c r="F495" s="2"/>
      <c r="G495" s="2"/>
    </row>
    <row r="496" spans="4:7" ht="14">
      <c r="D496" s="2"/>
      <c r="E496" s="2"/>
      <c r="F496" s="2"/>
      <c r="G496" s="2"/>
    </row>
    <row r="497" spans="4:7" ht="14">
      <c r="D497" s="2"/>
      <c r="E497" s="2"/>
      <c r="F497" s="2"/>
      <c r="G497" s="2"/>
    </row>
    <row r="498" spans="4:7" ht="14">
      <c r="D498" s="2"/>
      <c r="E498" s="2"/>
      <c r="F498" s="2"/>
      <c r="G498" s="2"/>
    </row>
    <row r="499" spans="4:7" ht="14">
      <c r="D499" s="2"/>
      <c r="E499" s="2"/>
      <c r="F499" s="2"/>
      <c r="G499" s="2"/>
    </row>
    <row r="500" spans="4:7" ht="14">
      <c r="D500" s="2"/>
      <c r="E500" s="2"/>
      <c r="F500" s="2"/>
      <c r="G500" s="2"/>
    </row>
    <row r="501" spans="4:7" ht="14">
      <c r="D501" s="2"/>
      <c r="E501" s="2"/>
      <c r="F501" s="2"/>
      <c r="G501" s="2"/>
    </row>
    <row r="502" spans="4:7" ht="14">
      <c r="D502" s="2"/>
      <c r="E502" s="2"/>
      <c r="F502" s="2"/>
      <c r="G502" s="2"/>
    </row>
    <row r="503" spans="4:7" ht="14">
      <c r="D503" s="2"/>
      <c r="E503" s="2"/>
      <c r="F503" s="2"/>
      <c r="G503" s="2"/>
    </row>
    <row r="504" spans="4:7" ht="14">
      <c r="D504" s="2"/>
      <c r="E504" s="2"/>
      <c r="F504" s="2"/>
      <c r="G504" s="2"/>
    </row>
    <row r="505" spans="4:7" ht="14">
      <c r="D505" s="2"/>
      <c r="E505" s="2"/>
      <c r="F505" s="2"/>
      <c r="G505" s="2"/>
    </row>
    <row r="506" spans="4:7" ht="14">
      <c r="D506" s="2"/>
      <c r="E506" s="2"/>
      <c r="F506" s="2"/>
      <c r="G506" s="2"/>
    </row>
    <row r="507" spans="4:7" ht="14">
      <c r="D507" s="2"/>
      <c r="E507" s="2"/>
      <c r="F507" s="2"/>
      <c r="G507" s="2"/>
    </row>
    <row r="508" spans="4:7" ht="14">
      <c r="D508" s="2"/>
      <c r="E508" s="2"/>
      <c r="F508" s="2"/>
      <c r="G508" s="2"/>
    </row>
    <row r="509" spans="4:7" ht="14">
      <c r="D509" s="2"/>
      <c r="E509" s="2"/>
      <c r="F509" s="2"/>
      <c r="G509" s="2"/>
    </row>
    <row r="510" spans="4:7" ht="14">
      <c r="D510" s="2"/>
      <c r="E510" s="2"/>
      <c r="F510" s="2"/>
      <c r="G510" s="2"/>
    </row>
    <row r="511" spans="4:7" ht="14">
      <c r="D511" s="2"/>
      <c r="E511" s="2"/>
      <c r="F511" s="2"/>
      <c r="G511" s="2"/>
    </row>
    <row r="512" spans="4:7" ht="14">
      <c r="D512" s="2"/>
      <c r="E512" s="2"/>
      <c r="F512" s="2"/>
      <c r="G512" s="2"/>
    </row>
    <row r="513" spans="4:7" ht="14">
      <c r="D513" s="2"/>
      <c r="E513" s="2"/>
      <c r="F513" s="2"/>
      <c r="G513" s="2"/>
    </row>
    <row r="514" spans="4:7" ht="14">
      <c r="D514" s="2"/>
      <c r="E514" s="2"/>
      <c r="F514" s="2"/>
      <c r="G514" s="2"/>
    </row>
    <row r="515" spans="4:7" ht="14">
      <c r="D515" s="2"/>
      <c r="E515" s="2"/>
      <c r="F515" s="2"/>
      <c r="G515" s="2"/>
    </row>
    <row r="516" spans="4:7" ht="14">
      <c r="D516" s="2"/>
      <c r="E516" s="2"/>
      <c r="F516" s="2"/>
      <c r="G516" s="2"/>
    </row>
    <row r="517" spans="4:7" ht="14">
      <c r="D517" s="2"/>
      <c r="E517" s="2"/>
      <c r="F517" s="2"/>
      <c r="G517" s="2"/>
    </row>
    <row r="518" spans="4:7" ht="14">
      <c r="D518" s="2"/>
      <c r="E518" s="2"/>
      <c r="F518" s="2"/>
      <c r="G518" s="2"/>
    </row>
    <row r="519" spans="4:7" ht="14">
      <c r="D519" s="2"/>
      <c r="E519" s="2"/>
      <c r="F519" s="2"/>
      <c r="G519" s="2"/>
    </row>
    <row r="520" spans="4:7" ht="14">
      <c r="D520" s="2"/>
      <c r="E520" s="2"/>
      <c r="F520" s="2"/>
      <c r="G520" s="2"/>
    </row>
    <row r="521" spans="4:7" ht="14">
      <c r="D521" s="2"/>
      <c r="E521" s="2"/>
      <c r="F521" s="2"/>
      <c r="G521" s="2"/>
    </row>
    <row r="522" spans="4:7" ht="14">
      <c r="D522" s="2"/>
      <c r="E522" s="2"/>
      <c r="F522" s="2"/>
      <c r="G522" s="2"/>
    </row>
    <row r="523" spans="4:7" ht="14">
      <c r="D523" s="2"/>
      <c r="E523" s="2"/>
      <c r="F523" s="2"/>
      <c r="G523" s="2"/>
    </row>
    <row r="524" spans="4:7" ht="14">
      <c r="D524" s="2"/>
      <c r="E524" s="2"/>
      <c r="F524" s="2"/>
      <c r="G524" s="2"/>
    </row>
    <row r="525" spans="4:7" ht="14">
      <c r="D525" s="2"/>
      <c r="E525" s="2"/>
      <c r="F525" s="2"/>
      <c r="G525" s="2"/>
    </row>
    <row r="526" spans="4:7" ht="14">
      <c r="D526" s="2"/>
      <c r="E526" s="2"/>
      <c r="F526" s="2"/>
      <c r="G526" s="2"/>
    </row>
    <row r="527" spans="4:7" ht="14">
      <c r="D527" s="2"/>
      <c r="E527" s="2"/>
      <c r="F527" s="2"/>
      <c r="G527" s="2"/>
    </row>
    <row r="528" spans="4:7" ht="14">
      <c r="D528" s="2"/>
      <c r="E528" s="2"/>
      <c r="F528" s="2"/>
      <c r="G528" s="2"/>
    </row>
    <row r="529" spans="4:7" ht="14">
      <c r="D529" s="2"/>
      <c r="E529" s="2"/>
      <c r="F529" s="2"/>
      <c r="G529" s="2"/>
    </row>
    <row r="530" spans="4:7" ht="14">
      <c r="D530" s="2"/>
      <c r="E530" s="2"/>
      <c r="F530" s="2"/>
      <c r="G530" s="2"/>
    </row>
    <row r="531" spans="4:7" ht="14">
      <c r="D531" s="2"/>
      <c r="E531" s="2"/>
      <c r="F531" s="2"/>
      <c r="G531" s="2"/>
    </row>
    <row r="532" spans="4:7" ht="14">
      <c r="D532" s="2"/>
      <c r="E532" s="2"/>
      <c r="F532" s="2"/>
      <c r="G532" s="2"/>
    </row>
    <row r="533" spans="4:7" ht="14">
      <c r="D533" s="2"/>
      <c r="E533" s="2"/>
      <c r="F533" s="2"/>
      <c r="G533" s="2"/>
    </row>
    <row r="534" spans="4:7" ht="14">
      <c r="D534" s="2"/>
      <c r="E534" s="2"/>
      <c r="F534" s="2"/>
      <c r="G534" s="2"/>
    </row>
    <row r="535" spans="4:7" ht="14">
      <c r="D535" s="2"/>
      <c r="E535" s="2"/>
      <c r="F535" s="2"/>
      <c r="G535" s="2"/>
    </row>
    <row r="536" spans="4:7" ht="14">
      <c r="D536" s="2"/>
      <c r="E536" s="2"/>
      <c r="F536" s="2"/>
      <c r="G536" s="2"/>
    </row>
    <row r="537" spans="4:7" ht="14">
      <c r="D537" s="2"/>
      <c r="E537" s="2"/>
      <c r="F537" s="2"/>
      <c r="G537" s="2"/>
    </row>
    <row r="538" spans="4:7" ht="14">
      <c r="D538" s="2"/>
      <c r="E538" s="2"/>
      <c r="F538" s="2"/>
      <c r="G538" s="2"/>
    </row>
    <row r="539" spans="4:7" ht="14">
      <c r="D539" s="2"/>
      <c r="E539" s="2"/>
      <c r="F539" s="2"/>
      <c r="G539" s="2"/>
    </row>
    <row r="540" spans="4:7" ht="14">
      <c r="D540" s="2"/>
      <c r="E540" s="2"/>
      <c r="F540" s="2"/>
      <c r="G540" s="2"/>
    </row>
    <row r="541" spans="4:7" ht="14">
      <c r="D541" s="2"/>
      <c r="E541" s="2"/>
      <c r="F541" s="2"/>
      <c r="G541" s="2"/>
    </row>
    <row r="542" spans="4:7" ht="14">
      <c r="D542" s="2"/>
      <c r="E542" s="2"/>
      <c r="F542" s="2"/>
      <c r="G542" s="2"/>
    </row>
    <row r="543" spans="4:7" ht="14">
      <c r="D543" s="2"/>
      <c r="E543" s="2"/>
      <c r="F543" s="2"/>
      <c r="G543" s="2"/>
    </row>
    <row r="544" spans="4:7" ht="14">
      <c r="D544" s="2"/>
      <c r="E544" s="2"/>
      <c r="F544" s="2"/>
      <c r="G544" s="2"/>
    </row>
    <row r="545" spans="4:7" ht="14">
      <c r="D545" s="2"/>
      <c r="E545" s="2"/>
      <c r="F545" s="2"/>
      <c r="G545" s="2"/>
    </row>
    <row r="546" spans="4:7" ht="14">
      <c r="D546" s="2"/>
      <c r="E546" s="2"/>
      <c r="F546" s="2"/>
      <c r="G546" s="2"/>
    </row>
    <row r="547" spans="4:7" ht="14">
      <c r="D547" s="2"/>
      <c r="E547" s="2"/>
      <c r="F547" s="2"/>
      <c r="G547" s="2"/>
    </row>
    <row r="548" spans="4:7" ht="14">
      <c r="D548" s="2"/>
      <c r="E548" s="2"/>
      <c r="F548" s="2"/>
      <c r="G548" s="2"/>
    </row>
    <row r="549" spans="4:7" ht="14">
      <c r="D549" s="2"/>
      <c r="E549" s="2"/>
      <c r="F549" s="2"/>
      <c r="G549" s="2"/>
    </row>
    <row r="550" spans="4:7" ht="14">
      <c r="D550" s="2"/>
      <c r="E550" s="2"/>
      <c r="F550" s="2"/>
      <c r="G550" s="2"/>
    </row>
    <row r="551" spans="4:7" ht="14">
      <c r="D551" s="2"/>
      <c r="E551" s="2"/>
      <c r="F551" s="2"/>
      <c r="G551" s="2"/>
    </row>
    <row r="552" spans="4:7" ht="14">
      <c r="D552" s="2"/>
      <c r="E552" s="2"/>
      <c r="F552" s="2"/>
      <c r="G552" s="2"/>
    </row>
    <row r="553" spans="4:7" ht="14">
      <c r="D553" s="2"/>
      <c r="E553" s="2"/>
      <c r="F553" s="2"/>
      <c r="G553" s="2"/>
    </row>
    <row r="554" spans="4:7" ht="14">
      <c r="D554" s="2"/>
      <c r="E554" s="2"/>
      <c r="F554" s="2"/>
      <c r="G554" s="2"/>
    </row>
    <row r="555" spans="4:7" ht="14">
      <c r="D555" s="2"/>
      <c r="E555" s="2"/>
      <c r="F555" s="2"/>
      <c r="G555" s="2"/>
    </row>
    <row r="556" spans="4:7" ht="14">
      <c r="D556" s="2"/>
      <c r="E556" s="2"/>
      <c r="F556" s="2"/>
      <c r="G556" s="2"/>
    </row>
    <row r="557" spans="4:7" ht="14">
      <c r="D557" s="2"/>
      <c r="E557" s="2"/>
      <c r="F557" s="2"/>
      <c r="G557" s="2"/>
    </row>
    <row r="558" spans="4:7" ht="14">
      <c r="D558" s="2"/>
      <c r="E558" s="2"/>
      <c r="F558" s="2"/>
      <c r="G558" s="2"/>
    </row>
    <row r="559" spans="4:7" ht="14">
      <c r="D559" s="2"/>
      <c r="E559" s="2"/>
      <c r="F559" s="2"/>
      <c r="G559" s="2"/>
    </row>
    <row r="560" spans="4:7" ht="14">
      <c r="D560" s="2"/>
      <c r="E560" s="2"/>
      <c r="F560" s="2"/>
      <c r="G560" s="2"/>
    </row>
    <row r="561" spans="4:7" ht="14">
      <c r="D561" s="2"/>
      <c r="E561" s="2"/>
      <c r="F561" s="2"/>
      <c r="G561" s="2"/>
    </row>
    <row r="562" spans="4:7" ht="14">
      <c r="D562" s="2"/>
      <c r="E562" s="2"/>
      <c r="F562" s="2"/>
      <c r="G562" s="2"/>
    </row>
    <row r="563" spans="4:7" ht="14">
      <c r="D563" s="2"/>
      <c r="E563" s="2"/>
      <c r="F563" s="2"/>
      <c r="G563" s="2"/>
    </row>
    <row r="564" spans="4:7" ht="14">
      <c r="D564" s="2"/>
      <c r="E564" s="2"/>
      <c r="F564" s="2"/>
      <c r="G564" s="2"/>
    </row>
    <row r="565" spans="4:7" ht="14">
      <c r="D565" s="2"/>
      <c r="E565" s="2"/>
      <c r="F565" s="2"/>
      <c r="G565" s="2"/>
    </row>
    <row r="566" spans="4:7" ht="14">
      <c r="D566" s="2"/>
      <c r="E566" s="2"/>
      <c r="F566" s="2"/>
      <c r="G566" s="2"/>
    </row>
    <row r="567" spans="4:7" ht="14">
      <c r="D567" s="2"/>
      <c r="E567" s="2"/>
      <c r="F567" s="2"/>
      <c r="G567" s="2"/>
    </row>
    <row r="568" spans="4:7" ht="14">
      <c r="D568" s="2"/>
      <c r="E568" s="2"/>
      <c r="F568" s="2"/>
      <c r="G568" s="2"/>
    </row>
    <row r="569" spans="4:7" ht="14">
      <c r="D569" s="2"/>
      <c r="E569" s="2"/>
      <c r="F569" s="2"/>
      <c r="G569" s="2"/>
    </row>
    <row r="570" spans="4:7" ht="14">
      <c r="D570" s="2"/>
      <c r="E570" s="2"/>
      <c r="F570" s="2"/>
      <c r="G570" s="2"/>
    </row>
    <row r="571" spans="4:7" ht="14">
      <c r="D571" s="2"/>
      <c r="E571" s="2"/>
      <c r="F571" s="2"/>
      <c r="G571" s="2"/>
    </row>
    <row r="572" spans="4:7" ht="14">
      <c r="D572" s="2"/>
      <c r="E572" s="2"/>
      <c r="F572" s="2"/>
      <c r="G572" s="2"/>
    </row>
    <row r="573" spans="4:7" ht="14">
      <c r="D573" s="2"/>
      <c r="E573" s="2"/>
      <c r="F573" s="2"/>
      <c r="G573" s="2"/>
    </row>
    <row r="574" spans="4:7" ht="14">
      <c r="D574" s="2"/>
      <c r="E574" s="2"/>
      <c r="F574" s="2"/>
      <c r="G574" s="2"/>
    </row>
    <row r="575" spans="4:7" ht="14">
      <c r="D575" s="2"/>
      <c r="E575" s="2"/>
      <c r="F575" s="2"/>
      <c r="G575" s="2"/>
    </row>
    <row r="576" spans="4:7" ht="14">
      <c r="D576" s="2"/>
      <c r="E576" s="2"/>
      <c r="F576" s="2"/>
      <c r="G576" s="2"/>
    </row>
    <row r="577" spans="4:7" ht="14">
      <c r="D577" s="2"/>
      <c r="E577" s="2"/>
      <c r="F577" s="2"/>
      <c r="G577" s="2"/>
    </row>
    <row r="578" spans="4:7" ht="14">
      <c r="D578" s="2"/>
      <c r="E578" s="2"/>
      <c r="F578" s="2"/>
      <c r="G578" s="2"/>
    </row>
    <row r="579" spans="4:7" ht="14">
      <c r="D579" s="2"/>
      <c r="E579" s="2"/>
      <c r="F579" s="2"/>
      <c r="G579" s="2"/>
    </row>
    <row r="580" spans="4:7" ht="14">
      <c r="D580" s="2"/>
      <c r="E580" s="2"/>
      <c r="F580" s="2"/>
      <c r="G580" s="2"/>
    </row>
    <row r="581" spans="4:7" ht="14">
      <c r="D581" s="2"/>
      <c r="E581" s="2"/>
      <c r="F581" s="2"/>
      <c r="G581" s="2"/>
    </row>
    <row r="582" spans="4:7" ht="14">
      <c r="D582" s="2"/>
      <c r="E582" s="2"/>
      <c r="F582" s="2"/>
      <c r="G582" s="2"/>
    </row>
    <row r="583" spans="4:7" ht="14">
      <c r="D583" s="2"/>
      <c r="E583" s="2"/>
      <c r="F583" s="2"/>
      <c r="G583" s="2"/>
    </row>
    <row r="584" spans="4:7" ht="14">
      <c r="D584" s="2"/>
      <c r="E584" s="2"/>
      <c r="F584" s="2"/>
      <c r="G584" s="2"/>
    </row>
    <row r="585" spans="4:7" ht="14">
      <c r="D585" s="2"/>
      <c r="E585" s="2"/>
      <c r="F585" s="2"/>
      <c r="G585" s="2"/>
    </row>
    <row r="586" spans="4:7" ht="14">
      <c r="D586" s="2"/>
      <c r="E586" s="2"/>
      <c r="F586" s="2"/>
      <c r="G586" s="2"/>
    </row>
    <row r="587" spans="4:7" ht="14">
      <c r="D587" s="2"/>
      <c r="E587" s="2"/>
      <c r="F587" s="2"/>
      <c r="G587" s="2"/>
    </row>
    <row r="588" spans="4:7" ht="14">
      <c r="D588" s="2"/>
      <c r="E588" s="2"/>
      <c r="F588" s="2"/>
      <c r="G588" s="2"/>
    </row>
    <row r="589" spans="4:7" ht="14">
      <c r="D589" s="2"/>
      <c r="E589" s="2"/>
      <c r="F589" s="2"/>
      <c r="G589" s="2"/>
    </row>
    <row r="590" spans="4:7" ht="14">
      <c r="D590" s="2"/>
      <c r="E590" s="2"/>
      <c r="F590" s="2"/>
      <c r="G590" s="2"/>
    </row>
    <row r="591" spans="4:7" ht="14">
      <c r="D591" s="2"/>
      <c r="E591" s="2"/>
      <c r="F591" s="2"/>
      <c r="G591" s="2"/>
    </row>
    <row r="592" spans="4:7" ht="14">
      <c r="D592" s="2"/>
      <c r="E592" s="2"/>
      <c r="F592" s="2"/>
      <c r="G592" s="2"/>
    </row>
    <row r="593" spans="4:7" ht="14">
      <c r="D593" s="2"/>
      <c r="E593" s="2"/>
      <c r="F593" s="2"/>
      <c r="G593" s="2"/>
    </row>
    <row r="594" spans="4:7" ht="14">
      <c r="D594" s="2"/>
      <c r="E594" s="2"/>
      <c r="F594" s="2"/>
      <c r="G594" s="2"/>
    </row>
    <row r="595" spans="4:7" ht="14">
      <c r="D595" s="2"/>
      <c r="E595" s="2"/>
      <c r="F595" s="2"/>
      <c r="G595" s="2"/>
    </row>
    <row r="596" spans="4:7" ht="14">
      <c r="D596" s="2"/>
      <c r="E596" s="2"/>
      <c r="F596" s="2"/>
      <c r="G596" s="2"/>
    </row>
    <row r="597" spans="4:7" ht="14">
      <c r="D597" s="2"/>
      <c r="E597" s="2"/>
      <c r="F597" s="2"/>
      <c r="G597" s="2"/>
    </row>
    <row r="598" spans="4:7" ht="14">
      <c r="D598" s="2"/>
      <c r="E598" s="2"/>
      <c r="F598" s="2"/>
      <c r="G598" s="2"/>
    </row>
    <row r="599" spans="4:7" ht="14">
      <c r="D599" s="2"/>
      <c r="E599" s="2"/>
      <c r="F599" s="2"/>
      <c r="G599" s="2"/>
    </row>
    <row r="600" spans="4:7" ht="14">
      <c r="D600" s="2"/>
      <c r="E600" s="2"/>
      <c r="F600" s="2"/>
      <c r="G600" s="2"/>
    </row>
    <row r="601" spans="4:7" ht="14">
      <c r="D601" s="2"/>
      <c r="E601" s="2"/>
      <c r="F601" s="2"/>
      <c r="G601" s="2"/>
    </row>
    <row r="602" spans="4:7" ht="14">
      <c r="D602" s="2"/>
      <c r="E602" s="2"/>
      <c r="F602" s="2"/>
      <c r="G602" s="2"/>
    </row>
    <row r="603" spans="4:7" ht="14">
      <c r="D603" s="2"/>
      <c r="E603" s="2"/>
      <c r="F603" s="2"/>
      <c r="G603" s="2"/>
    </row>
    <row r="604" spans="4:7" ht="14">
      <c r="D604" s="2"/>
      <c r="E604" s="2"/>
      <c r="F604" s="2"/>
      <c r="G604" s="2"/>
    </row>
    <row r="605" spans="4:7" ht="14">
      <c r="D605" s="2"/>
      <c r="E605" s="2"/>
      <c r="F605" s="2"/>
      <c r="G605" s="2"/>
    </row>
    <row r="606" spans="4:7" ht="14">
      <c r="D606" s="2"/>
      <c r="E606" s="2"/>
      <c r="F606" s="2"/>
      <c r="G606" s="2"/>
    </row>
    <row r="607" spans="4:7" ht="14">
      <c r="D607" s="2"/>
      <c r="E607" s="2"/>
      <c r="F607" s="2"/>
      <c r="G607" s="2"/>
    </row>
    <row r="608" spans="4:7" ht="14">
      <c r="D608" s="2"/>
      <c r="E608" s="2"/>
      <c r="F608" s="2"/>
      <c r="G608" s="2"/>
    </row>
    <row r="609" spans="4:7" ht="14">
      <c r="D609" s="2"/>
      <c r="E609" s="2"/>
      <c r="F609" s="2"/>
      <c r="G609" s="2"/>
    </row>
    <row r="610" spans="4:7" ht="14">
      <c r="D610" s="2"/>
      <c r="E610" s="2"/>
      <c r="F610" s="2"/>
      <c r="G610" s="2"/>
    </row>
    <row r="611" spans="4:7" ht="14">
      <c r="D611" s="2"/>
      <c r="E611" s="2"/>
      <c r="F611" s="2"/>
      <c r="G611" s="2"/>
    </row>
    <row r="612" spans="4:7" ht="14">
      <c r="D612" s="2"/>
      <c r="E612" s="2"/>
      <c r="F612" s="2"/>
      <c r="G612" s="2"/>
    </row>
    <row r="613" spans="4:7" ht="14">
      <c r="D613" s="2"/>
      <c r="E613" s="2"/>
      <c r="F613" s="2"/>
      <c r="G613" s="2"/>
    </row>
    <row r="614" spans="4:7" ht="14">
      <c r="D614" s="2"/>
      <c r="E614" s="2"/>
      <c r="F614" s="2"/>
      <c r="G614" s="2"/>
    </row>
    <row r="615" spans="4:7" ht="14">
      <c r="D615" s="2"/>
      <c r="E615" s="2"/>
      <c r="F615" s="2"/>
      <c r="G615" s="2"/>
    </row>
    <row r="616" spans="4:7" ht="14">
      <c r="D616" s="2"/>
      <c r="E616" s="2"/>
      <c r="F616" s="2"/>
      <c r="G616" s="2"/>
    </row>
    <row r="617" spans="4:7" ht="14">
      <c r="D617" s="2"/>
      <c r="E617" s="2"/>
      <c r="F617" s="2"/>
      <c r="G617" s="2"/>
    </row>
    <row r="618" spans="4:7" ht="14">
      <c r="D618" s="2"/>
      <c r="E618" s="2"/>
      <c r="F618" s="2"/>
      <c r="G618" s="2"/>
    </row>
    <row r="619" spans="4:7" ht="14">
      <c r="D619" s="2"/>
      <c r="E619" s="2"/>
      <c r="F619" s="2"/>
      <c r="G619" s="2"/>
    </row>
    <row r="620" spans="4:7" ht="14">
      <c r="D620" s="2"/>
      <c r="E620" s="2"/>
      <c r="F620" s="2"/>
      <c r="G620" s="2"/>
    </row>
    <row r="621" spans="4:7" ht="14">
      <c r="D621" s="2"/>
      <c r="E621" s="2"/>
      <c r="F621" s="2"/>
      <c r="G621" s="2"/>
    </row>
    <row r="622" spans="4:7" ht="14">
      <c r="D622" s="2"/>
      <c r="E622" s="2"/>
      <c r="F622" s="2"/>
      <c r="G622" s="2"/>
    </row>
    <row r="623" spans="4:7" ht="14">
      <c r="D623" s="2"/>
      <c r="E623" s="2"/>
      <c r="F623" s="2"/>
      <c r="G623" s="2"/>
    </row>
    <row r="624" spans="4:7" ht="14">
      <c r="D624" s="2"/>
      <c r="E624" s="2"/>
      <c r="F624" s="2"/>
      <c r="G624" s="2"/>
    </row>
    <row r="625" spans="4:7" ht="14">
      <c r="D625" s="2"/>
      <c r="E625" s="2"/>
      <c r="F625" s="2"/>
      <c r="G625" s="2"/>
    </row>
    <row r="626" spans="4:7" ht="14">
      <c r="D626" s="2"/>
      <c r="E626" s="2"/>
      <c r="F626" s="2"/>
      <c r="G626" s="2"/>
    </row>
    <row r="627" spans="4:7" ht="14">
      <c r="D627" s="2"/>
      <c r="E627" s="2"/>
      <c r="F627" s="2"/>
      <c r="G627" s="2"/>
    </row>
    <row r="628" spans="4:7" ht="14">
      <c r="D628" s="2"/>
      <c r="E628" s="2"/>
      <c r="F628" s="2"/>
      <c r="G628" s="2"/>
    </row>
    <row r="629" spans="4:7" ht="14">
      <c r="D629" s="2"/>
      <c r="E629" s="2"/>
      <c r="F629" s="2"/>
      <c r="G629" s="2"/>
    </row>
    <row r="630" spans="4:7" ht="14">
      <c r="D630" s="2"/>
      <c r="E630" s="2"/>
      <c r="F630" s="2"/>
      <c r="G630" s="2"/>
    </row>
    <row r="631" spans="4:7" ht="14">
      <c r="D631" s="2"/>
      <c r="E631" s="2"/>
      <c r="F631" s="2"/>
      <c r="G631" s="2"/>
    </row>
    <row r="632" spans="4:7" ht="14">
      <c r="D632" s="2"/>
      <c r="E632" s="2"/>
      <c r="F632" s="2"/>
      <c r="G632" s="2"/>
    </row>
    <row r="633" spans="4:7" ht="14">
      <c r="D633" s="2"/>
      <c r="E633" s="2"/>
      <c r="F633" s="2"/>
      <c r="G633" s="2"/>
    </row>
    <row r="634" spans="4:7" ht="14">
      <c r="D634" s="2"/>
      <c r="E634" s="2"/>
      <c r="F634" s="2"/>
      <c r="G634" s="2"/>
    </row>
    <row r="635" spans="4:7" ht="14">
      <c r="D635" s="2"/>
      <c r="E635" s="2"/>
      <c r="F635" s="2"/>
      <c r="G635" s="2"/>
    </row>
    <row r="636" spans="4:7" ht="14">
      <c r="D636" s="2"/>
      <c r="E636" s="2"/>
      <c r="F636" s="2"/>
      <c r="G636" s="2"/>
    </row>
    <row r="637" spans="4:7" ht="14">
      <c r="D637" s="2"/>
      <c r="E637" s="2"/>
      <c r="F637" s="2"/>
      <c r="G637" s="2"/>
    </row>
    <row r="638" spans="4:7" ht="14">
      <c r="D638" s="2"/>
      <c r="E638" s="2"/>
      <c r="F638" s="2"/>
      <c r="G638" s="2"/>
    </row>
    <row r="639" spans="4:7" ht="14">
      <c r="D639" s="2"/>
      <c r="E639" s="2"/>
      <c r="F639" s="2"/>
      <c r="G639" s="2"/>
    </row>
    <row r="640" spans="4:7" ht="14">
      <c r="D640" s="2"/>
      <c r="E640" s="2"/>
      <c r="F640" s="2"/>
      <c r="G640" s="2"/>
    </row>
    <row r="641" spans="4:7" ht="14">
      <c r="D641" s="2"/>
      <c r="E641" s="2"/>
      <c r="F641" s="2"/>
      <c r="G641" s="2"/>
    </row>
    <row r="642" spans="4:7" ht="14">
      <c r="D642" s="2"/>
      <c r="E642" s="2"/>
      <c r="F642" s="2"/>
      <c r="G642" s="2"/>
    </row>
    <row r="643" spans="4:7" ht="14">
      <c r="D643" s="2"/>
      <c r="E643" s="2"/>
      <c r="F643" s="2"/>
      <c r="G643" s="2"/>
    </row>
    <row r="644" spans="4:7" ht="14">
      <c r="D644" s="2"/>
      <c r="E644" s="2"/>
      <c r="F644" s="2"/>
      <c r="G644" s="2"/>
    </row>
    <row r="645" spans="4:7" ht="14">
      <c r="D645" s="2"/>
      <c r="E645" s="2"/>
      <c r="F645" s="2"/>
      <c r="G645" s="2"/>
    </row>
    <row r="646" spans="4:7" ht="14">
      <c r="D646" s="2"/>
      <c r="E646" s="2"/>
      <c r="F646" s="2"/>
      <c r="G646" s="2"/>
    </row>
    <row r="647" spans="4:7" ht="14">
      <c r="D647" s="2"/>
      <c r="E647" s="2"/>
      <c r="F647" s="2"/>
      <c r="G647" s="2"/>
    </row>
    <row r="648" spans="4:7" ht="14">
      <c r="D648" s="2"/>
      <c r="E648" s="2"/>
      <c r="F648" s="2"/>
      <c r="G648" s="2"/>
    </row>
    <row r="649" spans="4:7" ht="14">
      <c r="D649" s="2"/>
      <c r="E649" s="2"/>
      <c r="F649" s="2"/>
      <c r="G649" s="2"/>
    </row>
    <row r="650" spans="4:7" ht="14">
      <c r="D650" s="2"/>
      <c r="E650" s="2"/>
      <c r="F650" s="2"/>
      <c r="G650" s="2"/>
    </row>
    <row r="651" spans="4:7" ht="14">
      <c r="D651" s="2"/>
      <c r="E651" s="2"/>
      <c r="F651" s="2"/>
      <c r="G651" s="2"/>
    </row>
    <row r="652" spans="4:7" ht="14">
      <c r="D652" s="2"/>
      <c r="E652" s="2"/>
      <c r="F652" s="2"/>
      <c r="G652" s="2"/>
    </row>
    <row r="653" spans="4:7" ht="14">
      <c r="D653" s="2"/>
      <c r="E653" s="2"/>
      <c r="F653" s="2"/>
      <c r="G653" s="2"/>
    </row>
    <row r="654" spans="4:7" ht="14">
      <c r="D654" s="2"/>
      <c r="E654" s="2"/>
      <c r="F654" s="2"/>
      <c r="G654" s="2"/>
    </row>
    <row r="655" spans="4:7" ht="14">
      <c r="D655" s="2"/>
      <c r="E655" s="2"/>
      <c r="F655" s="2"/>
      <c r="G655" s="2"/>
    </row>
    <row r="656" spans="4:7" ht="14">
      <c r="D656" s="2"/>
      <c r="E656" s="2"/>
      <c r="F656" s="2"/>
      <c r="G656" s="2"/>
    </row>
    <row r="657" spans="4:7" ht="14">
      <c r="D657" s="2"/>
      <c r="E657" s="2"/>
      <c r="F657" s="2"/>
      <c r="G657" s="2"/>
    </row>
    <row r="658" spans="4:7" ht="14">
      <c r="D658" s="2"/>
      <c r="E658" s="2"/>
      <c r="F658" s="2"/>
      <c r="G658" s="2"/>
    </row>
    <row r="659" spans="4:7" ht="14">
      <c r="D659" s="2"/>
      <c r="E659" s="2"/>
      <c r="F659" s="2"/>
      <c r="G659" s="2"/>
    </row>
    <row r="660" spans="4:7" ht="14">
      <c r="D660" s="2"/>
      <c r="E660" s="2"/>
      <c r="F660" s="2"/>
      <c r="G660" s="2"/>
    </row>
    <row r="661" spans="4:7" ht="14">
      <c r="D661" s="2"/>
      <c r="E661" s="2"/>
      <c r="F661" s="2"/>
      <c r="G661" s="2"/>
    </row>
    <row r="662" spans="4:7" ht="14">
      <c r="D662" s="2"/>
      <c r="E662" s="2"/>
      <c r="F662" s="2"/>
      <c r="G662" s="2"/>
    </row>
    <row r="663" spans="4:7" ht="14">
      <c r="D663" s="2"/>
      <c r="E663" s="2"/>
      <c r="F663" s="2"/>
      <c r="G663" s="2"/>
    </row>
    <row r="664" spans="4:7" ht="14">
      <c r="D664" s="2"/>
      <c r="E664" s="2"/>
      <c r="F664" s="2"/>
      <c r="G664" s="2"/>
    </row>
    <row r="665" spans="4:7" ht="14">
      <c r="D665" s="2"/>
      <c r="E665" s="2"/>
      <c r="F665" s="2"/>
      <c r="G665" s="2"/>
    </row>
    <row r="666" spans="4:7" ht="14">
      <c r="D666" s="2"/>
      <c r="E666" s="2"/>
      <c r="F666" s="2"/>
      <c r="G666" s="2"/>
    </row>
    <row r="667" spans="4:7" ht="14">
      <c r="D667" s="2"/>
      <c r="E667" s="2"/>
      <c r="F667" s="2"/>
      <c r="G667" s="2"/>
    </row>
    <row r="668" spans="4:7" ht="14">
      <c r="D668" s="2"/>
      <c r="E668" s="2"/>
      <c r="F668" s="2"/>
      <c r="G668" s="2"/>
    </row>
    <row r="669" spans="4:7" ht="14">
      <c r="D669" s="2"/>
      <c r="E669" s="2"/>
      <c r="F669" s="2"/>
      <c r="G669" s="2"/>
    </row>
    <row r="670" spans="4:7" ht="14">
      <c r="D670" s="2"/>
      <c r="E670" s="2"/>
      <c r="F670" s="2"/>
      <c r="G670" s="2"/>
    </row>
    <row r="671" spans="4:7" ht="14">
      <c r="D671" s="2"/>
      <c r="E671" s="2"/>
      <c r="F671" s="2"/>
      <c r="G671" s="2"/>
    </row>
    <row r="672" spans="4:7" ht="14">
      <c r="D672" s="2"/>
      <c r="E672" s="2"/>
      <c r="F672" s="2"/>
      <c r="G672" s="2"/>
    </row>
    <row r="673" spans="4:7" ht="14">
      <c r="D673" s="2"/>
      <c r="E673" s="2"/>
      <c r="F673" s="2"/>
      <c r="G673" s="2"/>
    </row>
    <row r="674" spans="4:7" ht="14">
      <c r="D674" s="2"/>
      <c r="E674" s="2"/>
      <c r="F674" s="2"/>
      <c r="G674" s="2"/>
    </row>
    <row r="675" spans="4:7" ht="14">
      <c r="D675" s="2"/>
      <c r="E675" s="2"/>
      <c r="F675" s="2"/>
      <c r="G675" s="2"/>
    </row>
    <row r="676" spans="4:7" ht="14">
      <c r="D676" s="2"/>
      <c r="E676" s="2"/>
      <c r="F676" s="2"/>
      <c r="G676" s="2"/>
    </row>
    <row r="677" spans="4:7" ht="14">
      <c r="D677" s="2"/>
      <c r="E677" s="2"/>
      <c r="F677" s="2"/>
      <c r="G677" s="2"/>
    </row>
    <row r="678" spans="4:7" ht="14">
      <c r="D678" s="2"/>
      <c r="E678" s="2"/>
      <c r="F678" s="2"/>
      <c r="G678" s="2"/>
    </row>
    <row r="679" spans="4:7" ht="14">
      <c r="D679" s="2"/>
      <c r="E679" s="2"/>
      <c r="F679" s="2"/>
      <c r="G679" s="2"/>
    </row>
    <row r="680" spans="4:7" ht="14">
      <c r="D680" s="2"/>
      <c r="E680" s="2"/>
      <c r="F680" s="2"/>
      <c r="G680" s="2"/>
    </row>
    <row r="681" spans="4:7" ht="14">
      <c r="D681" s="2"/>
      <c r="E681" s="2"/>
      <c r="F681" s="2"/>
      <c r="G681" s="2"/>
    </row>
    <row r="682" spans="4:7" ht="14">
      <c r="D682" s="2"/>
      <c r="E682" s="2"/>
      <c r="F682" s="2"/>
      <c r="G682" s="2"/>
    </row>
    <row r="683" spans="4:7" ht="14">
      <c r="D683" s="2"/>
      <c r="E683" s="2"/>
      <c r="F683" s="2"/>
      <c r="G683" s="2"/>
    </row>
    <row r="684" spans="4:7" ht="14">
      <c r="D684" s="2"/>
      <c r="E684" s="2"/>
      <c r="F684" s="2"/>
      <c r="G684" s="2"/>
    </row>
    <row r="685" spans="4:7" ht="14">
      <c r="D685" s="2"/>
      <c r="E685" s="2"/>
      <c r="F685" s="2"/>
      <c r="G685" s="2"/>
    </row>
    <row r="686" spans="4:7" ht="14">
      <c r="D686" s="2"/>
      <c r="E686" s="2"/>
      <c r="F686" s="2"/>
      <c r="G686" s="2"/>
    </row>
    <row r="687" spans="4:7" ht="14">
      <c r="D687" s="2"/>
      <c r="E687" s="2"/>
      <c r="F687" s="2"/>
      <c r="G687" s="2"/>
    </row>
    <row r="688" spans="4:7" ht="14">
      <c r="D688" s="2"/>
      <c r="E688" s="2"/>
      <c r="F688" s="2"/>
      <c r="G688" s="2"/>
    </row>
    <row r="689" spans="4:7" ht="14">
      <c r="D689" s="2"/>
      <c r="E689" s="2"/>
      <c r="F689" s="2"/>
      <c r="G689" s="2"/>
    </row>
    <row r="690" spans="4:7" ht="14">
      <c r="D690" s="2"/>
      <c r="E690" s="2"/>
      <c r="F690" s="2"/>
      <c r="G690" s="2"/>
    </row>
    <row r="691" spans="4:7" ht="14">
      <c r="D691" s="2"/>
      <c r="E691" s="2"/>
      <c r="F691" s="2"/>
      <c r="G691" s="2"/>
    </row>
    <row r="692" spans="4:7" ht="14">
      <c r="D692" s="2"/>
      <c r="E692" s="2"/>
      <c r="F692" s="2"/>
      <c r="G692" s="2"/>
    </row>
    <row r="693" spans="4:7" ht="14">
      <c r="D693" s="2"/>
      <c r="E693" s="2"/>
      <c r="F693" s="2"/>
      <c r="G693" s="2"/>
    </row>
    <row r="694" spans="4:7" ht="14">
      <c r="D694" s="2"/>
      <c r="E694" s="2"/>
      <c r="F694" s="2"/>
      <c r="G694" s="2"/>
    </row>
    <row r="695" spans="4:7" ht="14">
      <c r="D695" s="2"/>
      <c r="E695" s="2"/>
      <c r="F695" s="2"/>
      <c r="G695" s="2"/>
    </row>
    <row r="696" spans="4:7" ht="14">
      <c r="D696" s="2"/>
      <c r="E696" s="2"/>
      <c r="F696" s="2"/>
      <c r="G696" s="2"/>
    </row>
    <row r="697" spans="4:7" ht="14">
      <c r="D697" s="2"/>
      <c r="E697" s="2"/>
      <c r="F697" s="2"/>
      <c r="G697" s="2"/>
    </row>
    <row r="698" spans="4:7" ht="14">
      <c r="D698" s="2"/>
      <c r="E698" s="2"/>
      <c r="F698" s="2"/>
      <c r="G698" s="2"/>
    </row>
    <row r="699" spans="4:7" ht="14">
      <c r="D699" s="2"/>
      <c r="E699" s="2"/>
      <c r="F699" s="2"/>
      <c r="G699" s="2"/>
    </row>
    <row r="700" spans="4:7" ht="14">
      <c r="D700" s="2"/>
      <c r="E700" s="2"/>
      <c r="F700" s="2"/>
      <c r="G700" s="2"/>
    </row>
    <row r="701" spans="4:7" ht="14">
      <c r="D701" s="2"/>
      <c r="E701" s="2"/>
      <c r="F701" s="2"/>
      <c r="G701" s="2"/>
    </row>
    <row r="702" spans="4:7" ht="14">
      <c r="D702" s="2"/>
      <c r="E702" s="2"/>
      <c r="F702" s="2"/>
      <c r="G702" s="2"/>
    </row>
    <row r="703" spans="4:7" ht="14">
      <c r="D703" s="2"/>
      <c r="E703" s="2"/>
      <c r="F703" s="2"/>
      <c r="G703" s="2"/>
    </row>
    <row r="704" spans="4:7" ht="14">
      <c r="D704" s="2"/>
      <c r="E704" s="2"/>
      <c r="F704" s="2"/>
      <c r="G704" s="2"/>
    </row>
    <row r="705" spans="4:7" ht="14">
      <c r="D705" s="2"/>
      <c r="E705" s="2"/>
      <c r="F705" s="2"/>
      <c r="G705" s="2"/>
    </row>
    <row r="706" spans="4:7" ht="14">
      <c r="D706" s="2"/>
      <c r="E706" s="2"/>
      <c r="F706" s="2"/>
      <c r="G706" s="2"/>
    </row>
    <row r="707" spans="4:7" ht="14">
      <c r="D707" s="2"/>
      <c r="E707" s="2"/>
      <c r="F707" s="2"/>
      <c r="G707" s="2"/>
    </row>
    <row r="708" spans="4:7" ht="14">
      <c r="D708" s="2"/>
      <c r="E708" s="2"/>
      <c r="F708" s="2"/>
      <c r="G708" s="2"/>
    </row>
    <row r="709" spans="4:7" ht="14">
      <c r="D709" s="2"/>
      <c r="E709" s="2"/>
      <c r="F709" s="2"/>
      <c r="G709" s="2"/>
    </row>
    <row r="710" spans="4:7" ht="14">
      <c r="D710" s="2"/>
      <c r="E710" s="2"/>
      <c r="F710" s="2"/>
      <c r="G710" s="2"/>
    </row>
    <row r="711" spans="4:7" ht="14">
      <c r="D711" s="2"/>
      <c r="E711" s="2"/>
      <c r="F711" s="2"/>
      <c r="G711" s="2"/>
    </row>
    <row r="712" spans="4:7" ht="14">
      <c r="D712" s="2"/>
      <c r="E712" s="2"/>
      <c r="F712" s="2"/>
      <c r="G712" s="2"/>
    </row>
    <row r="713" spans="4:7" ht="14">
      <c r="D713" s="2"/>
      <c r="E713" s="2"/>
      <c r="F713" s="2"/>
      <c r="G713" s="2"/>
    </row>
    <row r="714" spans="4:7" ht="14">
      <c r="D714" s="2"/>
      <c r="E714" s="2"/>
      <c r="F714" s="2"/>
      <c r="G714" s="2"/>
    </row>
    <row r="715" spans="4:7" ht="14">
      <c r="D715" s="2"/>
      <c r="E715" s="2"/>
      <c r="F715" s="2"/>
      <c r="G715" s="2"/>
    </row>
    <row r="716" spans="4:7" ht="14">
      <c r="D716" s="2"/>
      <c r="E716" s="2"/>
      <c r="F716" s="2"/>
      <c r="G716" s="2"/>
    </row>
    <row r="717" spans="4:7" ht="14">
      <c r="D717" s="2"/>
      <c r="E717" s="2"/>
      <c r="F717" s="2"/>
      <c r="G717" s="2"/>
    </row>
    <row r="718" spans="4:7" ht="14">
      <c r="D718" s="2"/>
      <c r="E718" s="2"/>
      <c r="F718" s="2"/>
      <c r="G718" s="2"/>
    </row>
    <row r="719" spans="4:7" ht="14">
      <c r="D719" s="2"/>
      <c r="E719" s="2"/>
      <c r="F719" s="2"/>
      <c r="G719" s="2"/>
    </row>
    <row r="720" spans="4:7" ht="14">
      <c r="D720" s="2"/>
      <c r="E720" s="2"/>
      <c r="F720" s="2"/>
      <c r="G720" s="2"/>
    </row>
    <row r="721" spans="4:7" ht="14">
      <c r="D721" s="2"/>
      <c r="E721" s="2"/>
      <c r="F721" s="2"/>
      <c r="G721" s="2"/>
    </row>
    <row r="722" spans="4:7" ht="14">
      <c r="D722" s="2"/>
      <c r="E722" s="2"/>
      <c r="F722" s="2"/>
      <c r="G722" s="2"/>
    </row>
    <row r="723" spans="4:7" ht="14">
      <c r="D723" s="2"/>
      <c r="E723" s="2"/>
      <c r="F723" s="2"/>
      <c r="G723" s="2"/>
    </row>
    <row r="724" spans="4:7" ht="14">
      <c r="D724" s="2"/>
      <c r="E724" s="2"/>
      <c r="F724" s="2"/>
      <c r="G724" s="2"/>
    </row>
    <row r="725" spans="4:7" ht="14">
      <c r="D725" s="2"/>
      <c r="E725" s="2"/>
      <c r="F725" s="2"/>
      <c r="G725" s="2"/>
    </row>
    <row r="726" spans="4:7" ht="14">
      <c r="D726" s="2"/>
      <c r="E726" s="2"/>
      <c r="F726" s="2"/>
      <c r="G726" s="2"/>
    </row>
    <row r="727" spans="4:7" ht="14">
      <c r="D727" s="2"/>
      <c r="E727" s="2"/>
      <c r="F727" s="2"/>
      <c r="G727" s="2"/>
    </row>
    <row r="728" spans="4:7" ht="14">
      <c r="D728" s="2"/>
      <c r="E728" s="2"/>
      <c r="F728" s="2"/>
      <c r="G728" s="2"/>
    </row>
    <row r="729" spans="4:7" ht="14">
      <c r="D729" s="2"/>
      <c r="E729" s="2"/>
      <c r="F729" s="2"/>
      <c r="G729" s="2"/>
    </row>
    <row r="730" spans="4:7" ht="14">
      <c r="D730" s="2"/>
      <c r="E730" s="2"/>
      <c r="F730" s="2"/>
      <c r="G730" s="2"/>
    </row>
    <row r="731" spans="4:7" ht="14">
      <c r="D731" s="2"/>
      <c r="E731" s="2"/>
      <c r="F731" s="2"/>
      <c r="G731" s="2"/>
    </row>
    <row r="732" spans="4:7" ht="14">
      <c r="D732" s="2"/>
      <c r="E732" s="2"/>
      <c r="F732" s="2"/>
      <c r="G732" s="2"/>
    </row>
    <row r="733" spans="4:7" ht="14">
      <c r="D733" s="2"/>
      <c r="E733" s="2"/>
      <c r="F733" s="2"/>
      <c r="G733" s="2"/>
    </row>
    <row r="734" spans="4:7" ht="14">
      <c r="D734" s="2"/>
      <c r="E734" s="2"/>
      <c r="F734" s="2"/>
      <c r="G734" s="2"/>
    </row>
    <row r="735" spans="4:7" ht="14">
      <c r="D735" s="2"/>
      <c r="E735" s="2"/>
      <c r="F735" s="2"/>
      <c r="G735" s="2"/>
    </row>
    <row r="736" spans="4:7" ht="14">
      <c r="D736" s="2"/>
      <c r="E736" s="2"/>
      <c r="F736" s="2"/>
      <c r="G736" s="2"/>
    </row>
    <row r="737" spans="4:7" ht="14">
      <c r="D737" s="2"/>
      <c r="E737" s="2"/>
      <c r="F737" s="2"/>
      <c r="G737" s="2"/>
    </row>
    <row r="738" spans="4:7" ht="14">
      <c r="D738" s="2"/>
      <c r="E738" s="2"/>
      <c r="F738" s="2"/>
      <c r="G738" s="2"/>
    </row>
    <row r="739" spans="4:7" ht="14">
      <c r="D739" s="2"/>
      <c r="E739" s="2"/>
      <c r="F739" s="2"/>
      <c r="G739" s="2"/>
    </row>
    <row r="740" spans="4:7" ht="14">
      <c r="D740" s="2"/>
      <c r="E740" s="2"/>
      <c r="F740" s="2"/>
      <c r="G740" s="2"/>
    </row>
    <row r="741" spans="4:7" ht="14">
      <c r="D741" s="2"/>
      <c r="E741" s="2"/>
      <c r="F741" s="2"/>
      <c r="G741" s="2"/>
    </row>
    <row r="742" spans="4:7" ht="14">
      <c r="D742" s="2"/>
      <c r="E742" s="2"/>
      <c r="F742" s="2"/>
      <c r="G742" s="2"/>
    </row>
    <row r="743" spans="4:7" ht="14">
      <c r="D743" s="2"/>
      <c r="E743" s="2"/>
      <c r="F743" s="2"/>
      <c r="G743" s="2"/>
    </row>
    <row r="744" spans="4:7" ht="14">
      <c r="D744" s="2"/>
      <c r="E744" s="2"/>
      <c r="F744" s="2"/>
      <c r="G744" s="2"/>
    </row>
    <row r="745" spans="4:7" ht="14">
      <c r="D745" s="2"/>
      <c r="E745" s="2"/>
      <c r="F745" s="2"/>
      <c r="G745" s="2"/>
    </row>
    <row r="746" spans="4:7" ht="14">
      <c r="D746" s="2"/>
      <c r="E746" s="2"/>
      <c r="F746" s="2"/>
      <c r="G746" s="2"/>
    </row>
    <row r="747" spans="4:7" ht="14">
      <c r="D747" s="2"/>
      <c r="E747" s="2"/>
      <c r="F747" s="2"/>
      <c r="G747" s="2"/>
    </row>
    <row r="748" spans="4:7" ht="14">
      <c r="D748" s="2"/>
      <c r="E748" s="2"/>
      <c r="F748" s="2"/>
      <c r="G748" s="2"/>
    </row>
    <row r="749" spans="4:7" ht="14">
      <c r="D749" s="2"/>
      <c r="E749" s="2"/>
      <c r="F749" s="2"/>
      <c r="G749" s="2"/>
    </row>
    <row r="750" spans="4:7" ht="14">
      <c r="D750" s="2"/>
      <c r="E750" s="2"/>
      <c r="F750" s="2"/>
      <c r="G750" s="2"/>
    </row>
    <row r="751" spans="4:7" ht="14">
      <c r="D751" s="2"/>
      <c r="E751" s="2"/>
      <c r="F751" s="2"/>
      <c r="G751" s="2"/>
    </row>
    <row r="752" spans="4:7" ht="14">
      <c r="D752" s="2"/>
      <c r="E752" s="2"/>
      <c r="F752" s="2"/>
      <c r="G752" s="2"/>
    </row>
    <row r="753" spans="4:7" ht="14">
      <c r="D753" s="2"/>
      <c r="E753" s="2"/>
      <c r="F753" s="2"/>
      <c r="G753" s="2"/>
    </row>
    <row r="754" spans="4:7" ht="14">
      <c r="D754" s="2"/>
      <c r="E754" s="2"/>
      <c r="F754" s="2"/>
      <c r="G754" s="2"/>
    </row>
    <row r="755" spans="4:7" ht="14">
      <c r="D755" s="2"/>
      <c r="E755" s="2"/>
      <c r="F755" s="2"/>
      <c r="G755" s="2"/>
    </row>
    <row r="756" spans="4:7" ht="14">
      <c r="D756" s="2"/>
      <c r="E756" s="2"/>
      <c r="F756" s="2"/>
      <c r="G756" s="2"/>
    </row>
    <row r="757" spans="4:7" ht="14">
      <c r="D757" s="2"/>
      <c r="E757" s="2"/>
      <c r="F757" s="2"/>
      <c r="G757" s="2"/>
    </row>
    <row r="758" spans="4:7" ht="14">
      <c r="D758" s="2"/>
      <c r="E758" s="2"/>
      <c r="F758" s="2"/>
      <c r="G758" s="2"/>
    </row>
    <row r="759" spans="4:7" ht="14">
      <c r="D759" s="2"/>
      <c r="E759" s="2"/>
      <c r="F759" s="2"/>
      <c r="G759" s="2"/>
    </row>
    <row r="760" spans="4:7" ht="14">
      <c r="D760" s="2"/>
      <c r="E760" s="2"/>
      <c r="F760" s="2"/>
      <c r="G760" s="2"/>
    </row>
    <row r="761" spans="4:7" ht="14">
      <c r="D761" s="2"/>
      <c r="E761" s="2"/>
      <c r="F761" s="2"/>
      <c r="G761" s="2"/>
    </row>
    <row r="762" spans="4:7" ht="14">
      <c r="D762" s="2"/>
      <c r="E762" s="2"/>
      <c r="F762" s="2"/>
      <c r="G762" s="2"/>
    </row>
    <row r="763" spans="4:7" ht="14">
      <c r="D763" s="2"/>
      <c r="E763" s="2"/>
      <c r="F763" s="2"/>
      <c r="G763" s="2"/>
    </row>
    <row r="764" spans="4:7" ht="14">
      <c r="D764" s="2"/>
      <c r="E764" s="2"/>
      <c r="F764" s="2"/>
      <c r="G764" s="2"/>
    </row>
    <row r="765" spans="4:7" ht="14">
      <c r="D765" s="2"/>
      <c r="E765" s="2"/>
      <c r="F765" s="2"/>
      <c r="G765" s="2"/>
    </row>
    <row r="766" spans="4:7" ht="14">
      <c r="D766" s="2"/>
      <c r="E766" s="2"/>
      <c r="F766" s="2"/>
      <c r="G766" s="2"/>
    </row>
    <row r="767" spans="4:7" ht="14">
      <c r="D767" s="2"/>
      <c r="E767" s="2"/>
      <c r="F767" s="2"/>
      <c r="G767" s="2"/>
    </row>
    <row r="768" spans="4:7" ht="14">
      <c r="D768" s="2"/>
      <c r="E768" s="2"/>
      <c r="F768" s="2"/>
      <c r="G768" s="2"/>
    </row>
    <row r="769" spans="4:7" ht="14">
      <c r="D769" s="2"/>
      <c r="E769" s="2"/>
      <c r="F769" s="2"/>
      <c r="G769" s="2"/>
    </row>
    <row r="770" spans="4:7" ht="14">
      <c r="D770" s="2"/>
      <c r="E770" s="2"/>
      <c r="F770" s="2"/>
      <c r="G770" s="2"/>
    </row>
    <row r="771" spans="4:7" ht="14">
      <c r="D771" s="2"/>
      <c r="E771" s="2"/>
      <c r="F771" s="2"/>
      <c r="G771" s="2"/>
    </row>
    <row r="772" spans="4:7" ht="14">
      <c r="D772" s="2"/>
      <c r="E772" s="2"/>
      <c r="F772" s="2"/>
      <c r="G772" s="2"/>
    </row>
    <row r="773" spans="4:7" ht="14">
      <c r="D773" s="2"/>
      <c r="E773" s="2"/>
      <c r="F773" s="2"/>
      <c r="G773" s="2"/>
    </row>
    <row r="774" spans="4:7" ht="14">
      <c r="D774" s="2"/>
      <c r="E774" s="2"/>
      <c r="F774" s="2"/>
      <c r="G774" s="2"/>
    </row>
    <row r="775" spans="4:7" ht="14">
      <c r="D775" s="2"/>
      <c r="E775" s="2"/>
      <c r="F775" s="2"/>
      <c r="G775" s="2"/>
    </row>
    <row r="776" spans="4:7" ht="14">
      <c r="D776" s="2"/>
      <c r="E776" s="2"/>
      <c r="F776" s="2"/>
      <c r="G776" s="2"/>
    </row>
    <row r="777" spans="4:7" ht="14">
      <c r="D777" s="2"/>
      <c r="E777" s="2"/>
      <c r="F777" s="2"/>
      <c r="G777" s="2"/>
    </row>
    <row r="778" spans="4:7" ht="14">
      <c r="D778" s="2"/>
      <c r="E778" s="2"/>
      <c r="F778" s="2"/>
      <c r="G778" s="2"/>
    </row>
    <row r="779" spans="4:7" ht="14">
      <c r="D779" s="2"/>
      <c r="E779" s="2"/>
      <c r="F779" s="2"/>
      <c r="G779" s="2"/>
    </row>
    <row r="780" spans="4:7" ht="14">
      <c r="D780" s="2"/>
      <c r="E780" s="2"/>
      <c r="F780" s="2"/>
      <c r="G780" s="2"/>
    </row>
    <row r="781" spans="4:7" ht="14">
      <c r="D781" s="2"/>
      <c r="E781" s="2"/>
      <c r="F781" s="2"/>
      <c r="G781" s="2"/>
    </row>
    <row r="782" spans="4:7" ht="14">
      <c r="D782" s="2"/>
      <c r="E782" s="2"/>
      <c r="F782" s="2"/>
      <c r="G782" s="2"/>
    </row>
    <row r="783" spans="4:7" ht="14">
      <c r="D783" s="2"/>
      <c r="E783" s="2"/>
      <c r="F783" s="2"/>
      <c r="G783" s="2"/>
    </row>
    <row r="784" spans="4:7" ht="14">
      <c r="D784" s="2"/>
      <c r="E784" s="2"/>
      <c r="F784" s="2"/>
      <c r="G784" s="2"/>
    </row>
    <row r="785" spans="4:7" ht="14">
      <c r="D785" s="2"/>
      <c r="E785" s="2"/>
      <c r="F785" s="2"/>
      <c r="G785" s="2"/>
    </row>
    <row r="786" spans="4:7" ht="14">
      <c r="D786" s="2"/>
      <c r="E786" s="2"/>
      <c r="F786" s="2"/>
      <c r="G786" s="2"/>
    </row>
    <row r="787" spans="4:7" ht="14">
      <c r="D787" s="2"/>
      <c r="E787" s="2"/>
      <c r="F787" s="2"/>
      <c r="G787" s="2"/>
    </row>
    <row r="788" spans="4:7" ht="14">
      <c r="D788" s="2"/>
      <c r="E788" s="2"/>
      <c r="F788" s="2"/>
      <c r="G788" s="2"/>
    </row>
    <row r="789" spans="4:7" ht="14">
      <c r="D789" s="2"/>
      <c r="E789" s="2"/>
      <c r="F789" s="2"/>
      <c r="G789" s="2"/>
    </row>
    <row r="790" spans="4:7" ht="14">
      <c r="D790" s="2"/>
      <c r="E790" s="2"/>
      <c r="F790" s="2"/>
      <c r="G790" s="2"/>
    </row>
    <row r="791" spans="4:7" ht="14">
      <c r="D791" s="2"/>
      <c r="E791" s="2"/>
      <c r="F791" s="2"/>
      <c r="G791" s="2"/>
    </row>
    <row r="792" spans="4:7" ht="14">
      <c r="D792" s="2"/>
      <c r="E792" s="2"/>
      <c r="F792" s="2"/>
      <c r="G792" s="2"/>
    </row>
    <row r="793" spans="4:7" ht="14">
      <c r="D793" s="2"/>
      <c r="E793" s="2"/>
      <c r="F793" s="2"/>
      <c r="G793" s="2"/>
    </row>
    <row r="794" spans="4:7" ht="14">
      <c r="D794" s="2"/>
      <c r="E794" s="2"/>
      <c r="F794" s="2"/>
      <c r="G794" s="2"/>
    </row>
    <row r="795" spans="4:7" ht="14">
      <c r="D795" s="2"/>
      <c r="E795" s="2"/>
      <c r="F795" s="2"/>
      <c r="G795" s="2"/>
    </row>
    <row r="796" spans="4:7" ht="14">
      <c r="D796" s="2"/>
      <c r="E796" s="2"/>
      <c r="F796" s="2"/>
      <c r="G796" s="2"/>
    </row>
    <row r="797" spans="4:7" ht="14">
      <c r="D797" s="2"/>
      <c r="E797" s="2"/>
      <c r="F797" s="2"/>
      <c r="G797" s="2"/>
    </row>
    <row r="798" spans="4:7" ht="14">
      <c r="D798" s="2"/>
      <c r="E798" s="2"/>
      <c r="F798" s="2"/>
      <c r="G798" s="2"/>
    </row>
    <row r="799" spans="4:7" ht="14">
      <c r="D799" s="2"/>
      <c r="E799" s="2"/>
      <c r="F799" s="2"/>
      <c r="G799" s="2"/>
    </row>
    <row r="800" spans="4:7" ht="14">
      <c r="D800" s="2"/>
      <c r="E800" s="2"/>
      <c r="F800" s="2"/>
      <c r="G800" s="2"/>
    </row>
    <row r="801" spans="4:7" ht="14">
      <c r="D801" s="2"/>
      <c r="E801" s="2"/>
      <c r="F801" s="2"/>
      <c r="G801" s="2"/>
    </row>
    <row r="802" spans="4:7" ht="14">
      <c r="D802" s="2"/>
      <c r="E802" s="2"/>
      <c r="F802" s="2"/>
      <c r="G802" s="2"/>
    </row>
    <row r="803" spans="4:7" ht="14">
      <c r="D803" s="2"/>
      <c r="E803" s="2"/>
      <c r="F803" s="2"/>
      <c r="G803" s="2"/>
    </row>
    <row r="804" spans="4:7" ht="14">
      <c r="D804" s="2"/>
      <c r="E804" s="2"/>
      <c r="F804" s="2"/>
      <c r="G804" s="2"/>
    </row>
    <row r="805" spans="4:7" ht="14">
      <c r="D805" s="2"/>
      <c r="E805" s="2"/>
      <c r="F805" s="2"/>
      <c r="G805" s="2"/>
    </row>
    <row r="806" spans="4:7" ht="14">
      <c r="D806" s="2"/>
      <c r="E806" s="2"/>
      <c r="F806" s="2"/>
      <c r="G806" s="2"/>
    </row>
    <row r="807" spans="4:7" ht="14">
      <c r="D807" s="2"/>
      <c r="E807" s="2"/>
      <c r="F807" s="2"/>
      <c r="G807" s="2"/>
    </row>
    <row r="808" spans="4:7" ht="14">
      <c r="D808" s="2"/>
      <c r="E808" s="2"/>
      <c r="F808" s="2"/>
      <c r="G808" s="2"/>
    </row>
    <row r="809" spans="4:7" ht="14">
      <c r="D809" s="2"/>
      <c r="E809" s="2"/>
      <c r="F809" s="2"/>
      <c r="G809" s="2"/>
    </row>
    <row r="810" spans="4:7" ht="14">
      <c r="D810" s="2"/>
      <c r="E810" s="2"/>
      <c r="F810" s="2"/>
      <c r="G810" s="2"/>
    </row>
    <row r="811" spans="4:7" ht="14">
      <c r="D811" s="2"/>
      <c r="E811" s="2"/>
      <c r="F811" s="2"/>
      <c r="G811" s="2"/>
    </row>
    <row r="812" spans="4:7" ht="14">
      <c r="D812" s="2"/>
      <c r="E812" s="2"/>
      <c r="F812" s="2"/>
      <c r="G812" s="2"/>
    </row>
    <row r="813" spans="4:7" ht="14">
      <c r="D813" s="2"/>
      <c r="E813" s="2"/>
      <c r="F813" s="2"/>
      <c r="G813" s="2"/>
    </row>
    <row r="814" spans="4:7" ht="14">
      <c r="D814" s="2"/>
      <c r="E814" s="2"/>
      <c r="F814" s="2"/>
      <c r="G814" s="2"/>
    </row>
    <row r="815" spans="4:7" ht="14">
      <c r="D815" s="2"/>
      <c r="E815" s="2"/>
      <c r="F815" s="2"/>
      <c r="G815" s="2"/>
    </row>
    <row r="816" spans="4:7" ht="14">
      <c r="D816" s="2"/>
      <c r="E816" s="2"/>
      <c r="F816" s="2"/>
      <c r="G816" s="2"/>
    </row>
    <row r="817" spans="4:7" ht="14">
      <c r="D817" s="2"/>
      <c r="E817" s="2"/>
      <c r="F817" s="2"/>
      <c r="G817" s="2"/>
    </row>
    <row r="818" spans="4:7" ht="14">
      <c r="D818" s="2"/>
      <c r="E818" s="2"/>
      <c r="F818" s="2"/>
      <c r="G818" s="2"/>
    </row>
    <row r="819" spans="4:7" ht="14">
      <c r="D819" s="2"/>
      <c r="E819" s="2"/>
      <c r="F819" s="2"/>
      <c r="G819" s="2"/>
    </row>
    <row r="820" spans="4:7" ht="14">
      <c r="D820" s="2"/>
      <c r="E820" s="2"/>
      <c r="F820" s="2"/>
      <c r="G820" s="2"/>
    </row>
    <row r="821" spans="4:7" ht="14">
      <c r="D821" s="2"/>
      <c r="E821" s="2"/>
      <c r="F821" s="2"/>
      <c r="G821" s="2"/>
    </row>
    <row r="822" spans="4:7" ht="14">
      <c r="D822" s="2"/>
      <c r="E822" s="2"/>
      <c r="F822" s="2"/>
      <c r="G822" s="2"/>
    </row>
    <row r="823" spans="4:7" ht="14">
      <c r="D823" s="2"/>
      <c r="E823" s="2"/>
      <c r="F823" s="2"/>
      <c r="G823" s="2"/>
    </row>
    <row r="824" spans="4:7" ht="14">
      <c r="D824" s="2"/>
      <c r="E824" s="2"/>
      <c r="F824" s="2"/>
      <c r="G824" s="2"/>
    </row>
    <row r="825" spans="4:7" ht="14">
      <c r="D825" s="2"/>
      <c r="E825" s="2"/>
      <c r="F825" s="2"/>
      <c r="G825" s="2"/>
    </row>
    <row r="826" spans="4:7" ht="14">
      <c r="D826" s="2"/>
      <c r="E826" s="2"/>
      <c r="F826" s="2"/>
      <c r="G826" s="2"/>
    </row>
    <row r="827" spans="4:7" ht="14">
      <c r="D827" s="2"/>
      <c r="E827" s="2"/>
      <c r="F827" s="2"/>
      <c r="G827" s="2"/>
    </row>
    <row r="828" spans="4:7" ht="14">
      <c r="D828" s="2"/>
      <c r="E828" s="2"/>
      <c r="F828" s="2"/>
      <c r="G828" s="2"/>
    </row>
    <row r="829" spans="4:7" ht="14">
      <c r="D829" s="2"/>
      <c r="E829" s="2"/>
      <c r="F829" s="2"/>
      <c r="G829" s="2"/>
    </row>
    <row r="830" spans="4:7" ht="14">
      <c r="D830" s="2"/>
      <c r="E830" s="2"/>
      <c r="F830" s="2"/>
      <c r="G830" s="2"/>
    </row>
    <row r="831" spans="4:7" ht="14">
      <c r="D831" s="2"/>
      <c r="E831" s="2"/>
      <c r="F831" s="2"/>
      <c r="G831" s="2"/>
    </row>
    <row r="832" spans="4:7" ht="14">
      <c r="D832" s="2"/>
      <c r="E832" s="2"/>
      <c r="F832" s="2"/>
      <c r="G832" s="2"/>
    </row>
    <row r="833" spans="4:7" ht="14">
      <c r="D833" s="2"/>
      <c r="E833" s="2"/>
      <c r="F833" s="2"/>
      <c r="G833" s="2"/>
    </row>
    <row r="834" spans="4:7" ht="14">
      <c r="D834" s="2"/>
      <c r="E834" s="2"/>
      <c r="F834" s="2"/>
      <c r="G834" s="2"/>
    </row>
    <row r="835" spans="4:7" ht="14">
      <c r="D835" s="2"/>
      <c r="E835" s="2"/>
      <c r="F835" s="2"/>
      <c r="G835" s="2"/>
    </row>
    <row r="836" spans="4:7" ht="14">
      <c r="D836" s="2"/>
      <c r="E836" s="2"/>
      <c r="F836" s="2"/>
      <c r="G836" s="2"/>
    </row>
    <row r="837" spans="4:7" ht="14">
      <c r="D837" s="2"/>
      <c r="E837" s="2"/>
      <c r="F837" s="2"/>
      <c r="G837" s="2"/>
    </row>
    <row r="838" spans="4:7" ht="14">
      <c r="D838" s="2"/>
      <c r="E838" s="2"/>
      <c r="F838" s="2"/>
      <c r="G838" s="2"/>
    </row>
    <row r="839" spans="4:7" ht="14">
      <c r="D839" s="2"/>
      <c r="E839" s="2"/>
      <c r="F839" s="2"/>
      <c r="G839" s="2"/>
    </row>
    <row r="840" spans="4:7" ht="14">
      <c r="D840" s="2"/>
      <c r="E840" s="2"/>
      <c r="F840" s="2"/>
      <c r="G840" s="2"/>
    </row>
    <row r="841" spans="4:7" ht="14">
      <c r="D841" s="2"/>
      <c r="E841" s="2"/>
      <c r="F841" s="2"/>
      <c r="G841" s="2"/>
    </row>
    <row r="842" spans="4:7" ht="14">
      <c r="D842" s="2"/>
      <c r="E842" s="2"/>
      <c r="F842" s="2"/>
      <c r="G842" s="2"/>
    </row>
    <row r="843" spans="4:7" ht="14">
      <c r="D843" s="2"/>
      <c r="E843" s="2"/>
      <c r="F843" s="2"/>
      <c r="G843" s="2"/>
    </row>
    <row r="844" spans="4:7" ht="14">
      <c r="D844" s="2"/>
      <c r="E844" s="2"/>
      <c r="F844" s="2"/>
      <c r="G844" s="2"/>
    </row>
    <row r="845" spans="4:7" ht="14">
      <c r="D845" s="2"/>
      <c r="E845" s="2"/>
      <c r="F845" s="2"/>
      <c r="G845" s="2"/>
    </row>
    <row r="846" spans="4:7" ht="14">
      <c r="D846" s="2"/>
      <c r="E846" s="2"/>
      <c r="F846" s="2"/>
      <c r="G846" s="2"/>
    </row>
    <row r="847" spans="4:7" ht="14">
      <c r="D847" s="2"/>
      <c r="E847" s="2"/>
      <c r="F847" s="2"/>
      <c r="G847" s="2"/>
    </row>
    <row r="848" spans="4:7" ht="14">
      <c r="D848" s="2"/>
      <c r="E848" s="2"/>
      <c r="F848" s="2"/>
      <c r="G848" s="2"/>
    </row>
    <row r="849" spans="4:7" ht="14">
      <c r="D849" s="2"/>
      <c r="E849" s="2"/>
      <c r="F849" s="2"/>
      <c r="G849" s="2"/>
    </row>
    <row r="850" spans="4:7" ht="14">
      <c r="D850" s="2"/>
      <c r="E850" s="2"/>
      <c r="F850" s="2"/>
      <c r="G850" s="2"/>
    </row>
    <row r="851" spans="4:7" ht="14">
      <c r="D851" s="2"/>
      <c r="E851" s="2"/>
      <c r="F851" s="2"/>
      <c r="G851" s="2"/>
    </row>
    <row r="852" spans="4:7" ht="14">
      <c r="D852" s="2"/>
      <c r="E852" s="2"/>
      <c r="F852" s="2"/>
      <c r="G852" s="2"/>
    </row>
    <row r="853" spans="4:7" ht="14">
      <c r="D853" s="2"/>
      <c r="E853" s="2"/>
      <c r="F853" s="2"/>
      <c r="G853" s="2"/>
    </row>
    <row r="854" spans="4:7" ht="14">
      <c r="D854" s="2"/>
      <c r="E854" s="2"/>
      <c r="F854" s="2"/>
      <c r="G854" s="2"/>
    </row>
    <row r="855" spans="4:7" ht="14">
      <c r="D855" s="2"/>
      <c r="E855" s="2"/>
      <c r="F855" s="2"/>
      <c r="G855" s="2"/>
    </row>
    <row r="856" spans="4:7" ht="14">
      <c r="D856" s="2"/>
      <c r="E856" s="2"/>
      <c r="F856" s="2"/>
      <c r="G856" s="2"/>
    </row>
    <row r="857" spans="4:7" ht="14">
      <c r="D857" s="2"/>
      <c r="E857" s="2"/>
      <c r="F857" s="2"/>
      <c r="G857" s="2"/>
    </row>
    <row r="858" spans="4:7" ht="14">
      <c r="D858" s="2"/>
      <c r="E858" s="2"/>
      <c r="F858" s="2"/>
      <c r="G858" s="2"/>
    </row>
    <row r="859" spans="4:7" ht="14">
      <c r="D859" s="2"/>
      <c r="E859" s="2"/>
      <c r="F859" s="2"/>
      <c r="G859" s="2"/>
    </row>
    <row r="860" spans="4:7" ht="14">
      <c r="D860" s="2"/>
      <c r="E860" s="2"/>
      <c r="F860" s="2"/>
      <c r="G860" s="2"/>
    </row>
    <row r="861" spans="4:7" ht="14">
      <c r="D861" s="2"/>
      <c r="E861" s="2"/>
      <c r="F861" s="2"/>
      <c r="G861" s="2"/>
    </row>
    <row r="862" spans="4:7" ht="14">
      <c r="D862" s="2"/>
      <c r="E862" s="2"/>
      <c r="F862" s="2"/>
      <c r="G862" s="2"/>
    </row>
    <row r="863" spans="4:7" ht="14">
      <c r="D863" s="2"/>
      <c r="E863" s="2"/>
      <c r="F863" s="2"/>
      <c r="G863" s="2"/>
    </row>
    <row r="864" spans="4:7" ht="14">
      <c r="D864" s="2"/>
      <c r="E864" s="2"/>
      <c r="F864" s="2"/>
      <c r="G864" s="2"/>
    </row>
    <row r="865" spans="4:7" ht="14">
      <c r="D865" s="2"/>
      <c r="E865" s="2"/>
      <c r="F865" s="2"/>
      <c r="G865" s="2"/>
    </row>
    <row r="866" spans="4:7" ht="14">
      <c r="D866" s="2"/>
      <c r="E866" s="2"/>
      <c r="F866" s="2"/>
      <c r="G866" s="2"/>
    </row>
    <row r="867" spans="4:7" ht="14">
      <c r="D867" s="2"/>
      <c r="E867" s="2"/>
      <c r="F867" s="2"/>
      <c r="G867" s="2"/>
    </row>
    <row r="868" spans="4:7" ht="14">
      <c r="D868" s="2"/>
      <c r="E868" s="2"/>
      <c r="F868" s="2"/>
      <c r="G868" s="2"/>
    </row>
    <row r="869" spans="4:7" ht="14">
      <c r="D869" s="2"/>
      <c r="E869" s="2"/>
      <c r="F869" s="2"/>
      <c r="G869" s="2"/>
    </row>
    <row r="870" spans="4:7" ht="14">
      <c r="D870" s="2"/>
      <c r="E870" s="2"/>
      <c r="F870" s="2"/>
      <c r="G870" s="2"/>
    </row>
    <row r="871" spans="4:7" ht="14">
      <c r="D871" s="2"/>
      <c r="E871" s="2"/>
      <c r="F871" s="2"/>
      <c r="G871" s="2"/>
    </row>
    <row r="872" spans="4:7" ht="14">
      <c r="D872" s="2"/>
      <c r="E872" s="2"/>
      <c r="F872" s="2"/>
      <c r="G872" s="2"/>
    </row>
    <row r="873" spans="4:7" ht="14">
      <c r="D873" s="2"/>
      <c r="E873" s="2"/>
      <c r="F873" s="2"/>
      <c r="G873" s="2"/>
    </row>
    <row r="874" spans="4:7" ht="14">
      <c r="D874" s="2"/>
      <c r="E874" s="2"/>
      <c r="F874" s="2"/>
      <c r="G874" s="2"/>
    </row>
    <row r="875" spans="4:7" ht="14">
      <c r="D875" s="2"/>
      <c r="E875" s="2"/>
      <c r="F875" s="2"/>
      <c r="G875" s="2"/>
    </row>
    <row r="876" spans="4:7" ht="14">
      <c r="D876" s="2"/>
      <c r="E876" s="2"/>
      <c r="F876" s="2"/>
      <c r="G876" s="2"/>
    </row>
    <row r="877" spans="4:7" ht="14">
      <c r="D877" s="2"/>
      <c r="E877" s="2"/>
      <c r="F877" s="2"/>
      <c r="G877" s="2"/>
    </row>
    <row r="878" spans="4:7" ht="14">
      <c r="D878" s="2"/>
      <c r="E878" s="2"/>
      <c r="F878" s="2"/>
      <c r="G878" s="2"/>
    </row>
    <row r="879" spans="4:7" ht="14">
      <c r="D879" s="2"/>
      <c r="E879" s="2"/>
      <c r="F879" s="2"/>
      <c r="G879" s="2"/>
    </row>
    <row r="880" spans="4:7" ht="14">
      <c r="D880" s="2"/>
      <c r="E880" s="2"/>
      <c r="F880" s="2"/>
      <c r="G880" s="2"/>
    </row>
    <row r="881" spans="4:7" ht="14">
      <c r="D881" s="2"/>
      <c r="E881" s="2"/>
      <c r="F881" s="2"/>
      <c r="G881" s="2"/>
    </row>
    <row r="882" spans="4:7" ht="14">
      <c r="D882" s="2"/>
      <c r="E882" s="2"/>
      <c r="F882" s="2"/>
      <c r="G882" s="2"/>
    </row>
    <row r="883" spans="4:7" ht="14">
      <c r="D883" s="2"/>
      <c r="E883" s="2"/>
      <c r="F883" s="2"/>
      <c r="G883" s="2"/>
    </row>
    <row r="884" spans="4:7" ht="14">
      <c r="D884" s="2"/>
      <c r="E884" s="2"/>
      <c r="F884" s="2"/>
      <c r="G884" s="2"/>
    </row>
    <row r="885" spans="4:7" ht="14">
      <c r="D885" s="2"/>
      <c r="E885" s="2"/>
      <c r="F885" s="2"/>
      <c r="G885" s="2"/>
    </row>
    <row r="886" spans="4:7" ht="14">
      <c r="D886" s="2"/>
      <c r="E886" s="2"/>
      <c r="F886" s="2"/>
      <c r="G886" s="2"/>
    </row>
    <row r="887" spans="4:7" ht="14">
      <c r="D887" s="2"/>
      <c r="E887" s="2"/>
      <c r="F887" s="2"/>
      <c r="G887" s="2"/>
    </row>
    <row r="888" spans="4:7" ht="14">
      <c r="D888" s="2"/>
      <c r="E888" s="2"/>
      <c r="F888" s="2"/>
      <c r="G888" s="2"/>
    </row>
    <row r="889" spans="4:7" ht="14">
      <c r="D889" s="2"/>
      <c r="E889" s="2"/>
      <c r="F889" s="2"/>
      <c r="G889" s="2"/>
    </row>
    <row r="890" spans="4:7" ht="14">
      <c r="D890" s="2"/>
      <c r="E890" s="2"/>
      <c r="F890" s="2"/>
      <c r="G890" s="2"/>
    </row>
    <row r="891" spans="4:7" ht="14">
      <c r="D891" s="2"/>
      <c r="E891" s="2"/>
      <c r="F891" s="2"/>
      <c r="G891" s="2"/>
    </row>
    <row r="892" spans="4:7" ht="14">
      <c r="D892" s="2"/>
      <c r="E892" s="2"/>
      <c r="F892" s="2"/>
      <c r="G892" s="2"/>
    </row>
    <row r="893" spans="4:7" ht="14">
      <c r="D893" s="2"/>
      <c r="E893" s="2"/>
      <c r="F893" s="2"/>
      <c r="G893" s="2"/>
    </row>
    <row r="894" spans="4:7" ht="14">
      <c r="D894" s="2"/>
      <c r="E894" s="2"/>
      <c r="F894" s="2"/>
      <c r="G894" s="2"/>
    </row>
    <row r="895" spans="4:7" ht="14">
      <c r="D895" s="2"/>
      <c r="E895" s="2"/>
      <c r="F895" s="2"/>
      <c r="G895" s="2"/>
    </row>
    <row r="896" spans="4:7" ht="14">
      <c r="D896" s="2"/>
      <c r="E896" s="2"/>
      <c r="F896" s="2"/>
      <c r="G896" s="2"/>
    </row>
    <row r="897" spans="4:7" ht="14">
      <c r="D897" s="2"/>
      <c r="E897" s="2"/>
      <c r="F897" s="2"/>
      <c r="G897" s="2"/>
    </row>
    <row r="898" spans="4:7" ht="14">
      <c r="D898" s="2"/>
      <c r="E898" s="2"/>
      <c r="F898" s="2"/>
      <c r="G898" s="2"/>
    </row>
    <row r="899" spans="4:7" ht="14">
      <c r="D899" s="2"/>
      <c r="E899" s="2"/>
      <c r="F899" s="2"/>
      <c r="G899" s="2"/>
    </row>
    <row r="900" spans="4:7" ht="14">
      <c r="D900" s="2"/>
      <c r="E900" s="2"/>
      <c r="F900" s="2"/>
      <c r="G900" s="2"/>
    </row>
    <row r="901" spans="4:7" ht="14">
      <c r="D901" s="2"/>
      <c r="E901" s="2"/>
      <c r="F901" s="2"/>
      <c r="G901" s="2"/>
    </row>
    <row r="902" spans="4:7" ht="14">
      <c r="D902" s="2"/>
      <c r="E902" s="2"/>
      <c r="F902" s="2"/>
      <c r="G902" s="2"/>
    </row>
    <row r="903" spans="4:7" ht="14">
      <c r="D903" s="2"/>
      <c r="E903" s="2"/>
      <c r="F903" s="2"/>
      <c r="G903" s="2"/>
    </row>
    <row r="904" spans="4:7" ht="14">
      <c r="D904" s="2"/>
      <c r="E904" s="2"/>
      <c r="F904" s="2"/>
      <c r="G904" s="2"/>
    </row>
    <row r="905" spans="4:7" ht="14">
      <c r="D905" s="2"/>
      <c r="E905" s="2"/>
      <c r="F905" s="2"/>
      <c r="G905" s="2"/>
    </row>
    <row r="906" spans="4:7" ht="14">
      <c r="D906" s="2"/>
      <c r="E906" s="2"/>
      <c r="F906" s="2"/>
      <c r="G906" s="2"/>
    </row>
    <row r="907" spans="4:7" ht="14">
      <c r="D907" s="2"/>
      <c r="E907" s="2"/>
      <c r="F907" s="2"/>
      <c r="G907" s="2"/>
    </row>
    <row r="908" spans="4:7" ht="14">
      <c r="D908" s="2"/>
      <c r="E908" s="2"/>
      <c r="F908" s="2"/>
      <c r="G908" s="2"/>
    </row>
    <row r="909" spans="4:7" ht="14">
      <c r="D909" s="2"/>
      <c r="E909" s="2"/>
      <c r="F909" s="2"/>
      <c r="G909" s="2"/>
    </row>
    <row r="910" spans="4:7" ht="14">
      <c r="D910" s="2"/>
      <c r="E910" s="2"/>
      <c r="F910" s="2"/>
      <c r="G910" s="2"/>
    </row>
    <row r="911" spans="4:7" ht="14">
      <c r="D911" s="2"/>
      <c r="E911" s="2"/>
      <c r="F911" s="2"/>
      <c r="G911" s="2"/>
    </row>
    <row r="912" spans="4:7" ht="14">
      <c r="D912" s="2"/>
      <c r="E912" s="2"/>
      <c r="F912" s="2"/>
      <c r="G912" s="2"/>
    </row>
    <row r="913" spans="4:7" ht="14">
      <c r="D913" s="2"/>
      <c r="E913" s="2"/>
      <c r="F913" s="2"/>
      <c r="G913" s="2"/>
    </row>
    <row r="914" spans="4:7" ht="14">
      <c r="D914" s="2"/>
      <c r="E914" s="2"/>
      <c r="F914" s="2"/>
      <c r="G914" s="2"/>
    </row>
    <row r="915" spans="4:7" ht="14">
      <c r="D915" s="2"/>
      <c r="E915" s="2"/>
      <c r="F915" s="2"/>
      <c r="G915" s="2"/>
    </row>
    <row r="916" spans="4:7" ht="14">
      <c r="D916" s="2"/>
      <c r="E916" s="2"/>
      <c r="F916" s="2"/>
      <c r="G916" s="2"/>
    </row>
    <row r="917" spans="4:7" ht="14">
      <c r="D917" s="2"/>
      <c r="E917" s="2"/>
      <c r="F917" s="2"/>
      <c r="G917" s="2"/>
    </row>
    <row r="918" spans="4:7" ht="14">
      <c r="D918" s="2"/>
      <c r="E918" s="2"/>
      <c r="F918" s="2"/>
      <c r="G918" s="2"/>
    </row>
    <row r="919" spans="4:7" ht="14">
      <c r="D919" s="2"/>
      <c r="E919" s="2"/>
      <c r="F919" s="2"/>
      <c r="G919" s="2"/>
    </row>
    <row r="920" spans="4:7" ht="14">
      <c r="D920" s="2"/>
      <c r="E920" s="2"/>
      <c r="F920" s="2"/>
      <c r="G920" s="2"/>
    </row>
    <row r="921" spans="4:7" ht="14">
      <c r="D921" s="2"/>
      <c r="E921" s="2"/>
      <c r="F921" s="2"/>
      <c r="G921" s="2"/>
    </row>
    <row r="922" spans="4:7" ht="14">
      <c r="D922" s="2"/>
      <c r="E922" s="2"/>
      <c r="F922" s="2"/>
      <c r="G922" s="2"/>
    </row>
    <row r="923" spans="4:7" ht="14">
      <c r="D923" s="2"/>
      <c r="E923" s="2"/>
      <c r="F923" s="2"/>
      <c r="G923" s="2"/>
    </row>
    <row r="924" spans="4:7" ht="14">
      <c r="D924" s="2"/>
      <c r="E924" s="2"/>
      <c r="F924" s="2"/>
      <c r="G924" s="2"/>
    </row>
    <row r="925" spans="4:7" ht="14">
      <c r="D925" s="2"/>
      <c r="E925" s="2"/>
      <c r="F925" s="2"/>
      <c r="G925" s="2"/>
    </row>
    <row r="926" spans="4:7" ht="14">
      <c r="D926" s="2"/>
      <c r="E926" s="2"/>
      <c r="F926" s="2"/>
      <c r="G926" s="2"/>
    </row>
    <row r="927" spans="4:7" ht="14">
      <c r="D927" s="2"/>
      <c r="E927" s="2"/>
      <c r="F927" s="2"/>
      <c r="G927" s="2"/>
    </row>
    <row r="928" spans="4:7" ht="14">
      <c r="D928" s="2"/>
      <c r="E928" s="2"/>
      <c r="F928" s="2"/>
      <c r="G928" s="2"/>
    </row>
    <row r="929" spans="4:7" ht="14">
      <c r="D929" s="2"/>
      <c r="E929" s="2"/>
      <c r="F929" s="2"/>
      <c r="G929" s="2"/>
    </row>
    <row r="930" spans="4:7" ht="14">
      <c r="D930" s="2"/>
      <c r="E930" s="2"/>
      <c r="F930" s="2"/>
      <c r="G930" s="2"/>
    </row>
    <row r="931" spans="4:7" ht="14">
      <c r="D931" s="2"/>
      <c r="E931" s="2"/>
      <c r="F931" s="2"/>
      <c r="G931" s="2"/>
    </row>
    <row r="932" spans="4:7" ht="14">
      <c r="D932" s="2"/>
      <c r="E932" s="2"/>
      <c r="F932" s="2"/>
      <c r="G932" s="2"/>
    </row>
    <row r="933" spans="4:7" ht="14">
      <c r="D933" s="2"/>
      <c r="E933" s="2"/>
      <c r="F933" s="2"/>
      <c r="G933" s="2"/>
    </row>
    <row r="934" spans="4:7" ht="14">
      <c r="D934" s="2"/>
      <c r="E934" s="2"/>
      <c r="F934" s="2"/>
      <c r="G934" s="2"/>
    </row>
    <row r="935" spans="4:7" ht="14">
      <c r="D935" s="2"/>
      <c r="E935" s="2"/>
      <c r="F935" s="2"/>
      <c r="G935" s="2"/>
    </row>
    <row r="936" spans="4:7" ht="14">
      <c r="D936" s="2"/>
      <c r="E936" s="2"/>
      <c r="F936" s="2"/>
      <c r="G936" s="2"/>
    </row>
    <row r="937" spans="4:7" ht="14">
      <c r="D937" s="2"/>
      <c r="E937" s="2"/>
      <c r="F937" s="2"/>
      <c r="G937" s="2"/>
    </row>
    <row r="938" spans="4:7" ht="14">
      <c r="D938" s="2"/>
      <c r="E938" s="2"/>
      <c r="F938" s="2"/>
      <c r="G938" s="2"/>
    </row>
    <row r="939" spans="4:7" ht="14">
      <c r="D939" s="2"/>
      <c r="E939" s="2"/>
      <c r="F939" s="2"/>
      <c r="G939" s="2"/>
    </row>
    <row r="940" spans="4:7" ht="14">
      <c r="D940" s="2"/>
      <c r="E940" s="2"/>
      <c r="F940" s="2"/>
      <c r="G940" s="2"/>
    </row>
    <row r="941" spans="4:7" ht="14">
      <c r="D941" s="2"/>
      <c r="E941" s="2"/>
      <c r="F941" s="2"/>
      <c r="G941" s="2"/>
    </row>
    <row r="942" spans="4:7" ht="14">
      <c r="D942" s="2"/>
      <c r="E942" s="2"/>
      <c r="F942" s="2"/>
      <c r="G942" s="2"/>
    </row>
    <row r="943" spans="4:7" ht="14">
      <c r="D943" s="2"/>
      <c r="E943" s="2"/>
      <c r="F943" s="2"/>
      <c r="G943" s="2"/>
    </row>
    <row r="944" spans="4:7" ht="14">
      <c r="D944" s="2"/>
      <c r="E944" s="2"/>
      <c r="F944" s="2"/>
      <c r="G944" s="2"/>
    </row>
    <row r="945" spans="4:7" ht="14">
      <c r="D945" s="2"/>
      <c r="E945" s="2"/>
      <c r="F945" s="2"/>
      <c r="G945" s="2"/>
    </row>
    <row r="946" spans="4:7" ht="14">
      <c r="D946" s="2"/>
      <c r="E946" s="2"/>
      <c r="F946" s="2"/>
      <c r="G946" s="2"/>
    </row>
    <row r="947" spans="4:7" ht="14">
      <c r="D947" s="2"/>
      <c r="E947" s="2"/>
      <c r="F947" s="2"/>
      <c r="G947" s="2"/>
    </row>
    <row r="948" spans="4:7" ht="14">
      <c r="D948" s="2"/>
      <c r="E948" s="2"/>
      <c r="F948" s="2"/>
      <c r="G948" s="2"/>
    </row>
    <row r="949" spans="4:7" ht="14">
      <c r="D949" s="2"/>
      <c r="E949" s="2"/>
      <c r="F949" s="2"/>
      <c r="G949" s="2"/>
    </row>
    <row r="950" spans="4:7" ht="14">
      <c r="D950" s="2"/>
      <c r="E950" s="2"/>
      <c r="F950" s="2"/>
      <c r="G950" s="2"/>
    </row>
    <row r="951" spans="4:7" ht="14">
      <c r="D951" s="2"/>
      <c r="E951" s="2"/>
      <c r="F951" s="2"/>
      <c r="G951" s="2"/>
    </row>
    <row r="952" spans="4:7" ht="14">
      <c r="D952" s="2"/>
      <c r="E952" s="2"/>
      <c r="F952" s="2"/>
      <c r="G952" s="2"/>
    </row>
    <row r="953" spans="4:7" ht="14">
      <c r="D953" s="2"/>
      <c r="E953" s="2"/>
      <c r="F953" s="2"/>
      <c r="G953" s="2"/>
    </row>
    <row r="954" spans="4:7" ht="14">
      <c r="D954" s="2"/>
      <c r="E954" s="2"/>
      <c r="F954" s="2"/>
      <c r="G954" s="2"/>
    </row>
    <row r="955" spans="4:7" ht="14">
      <c r="D955" s="2"/>
      <c r="E955" s="2"/>
      <c r="F955" s="2"/>
      <c r="G955" s="2"/>
    </row>
    <row r="956" spans="4:7" ht="14">
      <c r="D956" s="2"/>
      <c r="E956" s="2"/>
      <c r="F956" s="2"/>
      <c r="G956" s="2"/>
    </row>
    <row r="957" spans="4:7" ht="14">
      <c r="D957" s="2"/>
      <c r="E957" s="2"/>
      <c r="F957" s="2"/>
      <c r="G957" s="2"/>
    </row>
    <row r="958" spans="4:7" ht="14">
      <c r="D958" s="2"/>
      <c r="E958" s="2"/>
      <c r="F958" s="2"/>
      <c r="G958" s="2"/>
    </row>
    <row r="959" spans="4:7" ht="14">
      <c r="D959" s="2"/>
      <c r="E959" s="2"/>
      <c r="F959" s="2"/>
      <c r="G959" s="2"/>
    </row>
    <row r="960" spans="4:7" ht="14">
      <c r="D960" s="2"/>
      <c r="E960" s="2"/>
      <c r="F960" s="2"/>
      <c r="G960" s="2"/>
    </row>
    <row r="961" spans="4:7" ht="14">
      <c r="D961" s="2"/>
      <c r="E961" s="2"/>
      <c r="F961" s="2"/>
      <c r="G961" s="2"/>
    </row>
    <row r="962" spans="4:7" ht="14">
      <c r="D962" s="2"/>
      <c r="E962" s="2"/>
      <c r="F962" s="2"/>
      <c r="G962" s="2"/>
    </row>
    <row r="963" spans="4:7" ht="14">
      <c r="D963" s="2"/>
      <c r="E963" s="2"/>
      <c r="F963" s="2"/>
      <c r="G963" s="2"/>
    </row>
    <row r="964" spans="4:7" ht="14">
      <c r="D964" s="2"/>
      <c r="E964" s="2"/>
      <c r="F964" s="2"/>
      <c r="G964" s="2"/>
    </row>
    <row r="965" spans="4:7" ht="14">
      <c r="D965" s="2"/>
      <c r="E965" s="2"/>
      <c r="F965" s="2"/>
      <c r="G965" s="2"/>
    </row>
    <row r="966" spans="4:7" ht="14">
      <c r="D966" s="2"/>
      <c r="E966" s="2"/>
      <c r="F966" s="2"/>
      <c r="G966" s="2"/>
    </row>
    <row r="967" spans="4:7" ht="14">
      <c r="D967" s="2"/>
      <c r="E967" s="2"/>
      <c r="F967" s="2"/>
      <c r="G967" s="2"/>
    </row>
    <row r="968" spans="4:7" ht="14">
      <c r="D968" s="2"/>
      <c r="E968" s="2"/>
      <c r="F968" s="2"/>
      <c r="G968" s="2"/>
    </row>
    <row r="969" spans="4:7" ht="14">
      <c r="D969" s="2"/>
      <c r="E969" s="2"/>
      <c r="F969" s="2"/>
      <c r="G969" s="2"/>
    </row>
    <row r="970" spans="4:7" ht="14">
      <c r="D970" s="2"/>
      <c r="E970" s="2"/>
      <c r="F970" s="2"/>
      <c r="G970" s="2"/>
    </row>
    <row r="971" spans="4:7" ht="14">
      <c r="D971" s="2"/>
      <c r="E971" s="2"/>
      <c r="F971" s="2"/>
      <c r="G971" s="2"/>
    </row>
    <row r="972" spans="4:7" ht="14">
      <c r="D972" s="2"/>
      <c r="E972" s="2"/>
      <c r="F972" s="2"/>
      <c r="G972" s="2"/>
    </row>
    <row r="973" spans="4:7" ht="14">
      <c r="D973" s="2"/>
      <c r="E973" s="2"/>
      <c r="F973" s="2"/>
      <c r="G973" s="2"/>
    </row>
    <row r="974" spans="4:7" ht="14">
      <c r="D974" s="2"/>
      <c r="E974" s="2"/>
      <c r="F974" s="2"/>
      <c r="G974" s="2"/>
    </row>
    <row r="975" spans="4:7" ht="14">
      <c r="D975" s="2"/>
      <c r="E975" s="2"/>
      <c r="F975" s="2"/>
      <c r="G975" s="2"/>
    </row>
    <row r="976" spans="4:7" ht="14">
      <c r="D976" s="2"/>
      <c r="E976" s="2"/>
      <c r="F976" s="2"/>
      <c r="G976" s="2"/>
    </row>
    <row r="977" spans="4:7" ht="14">
      <c r="D977" s="2"/>
      <c r="E977" s="2"/>
      <c r="F977" s="2"/>
      <c r="G977" s="2"/>
    </row>
    <row r="978" spans="4:7" ht="14">
      <c r="D978" s="2"/>
      <c r="E978" s="2"/>
      <c r="F978" s="2"/>
      <c r="G978" s="2"/>
    </row>
    <row r="979" spans="4:7" ht="14">
      <c r="D979" s="2"/>
      <c r="E979" s="2"/>
      <c r="F979" s="2"/>
      <c r="G979" s="2"/>
    </row>
    <row r="980" spans="4:7" ht="14">
      <c r="D980" s="2"/>
      <c r="E980" s="2"/>
      <c r="F980" s="2"/>
      <c r="G980" s="2"/>
    </row>
    <row r="981" spans="4:7" ht="14">
      <c r="D981" s="2"/>
      <c r="E981" s="2"/>
      <c r="F981" s="2"/>
      <c r="G981" s="2"/>
    </row>
    <row r="982" spans="4:7" ht="14">
      <c r="D982" s="2"/>
      <c r="E982" s="2"/>
      <c r="F982" s="2"/>
      <c r="G982" s="2"/>
    </row>
    <row r="983" spans="4:7" ht="14">
      <c r="D983" s="2"/>
      <c r="E983" s="2"/>
      <c r="F983" s="2"/>
      <c r="G983" s="2"/>
    </row>
    <row r="984" spans="4:7" ht="14">
      <c r="D984" s="2"/>
      <c r="E984" s="2"/>
      <c r="F984" s="2"/>
      <c r="G984" s="2"/>
    </row>
    <row r="985" spans="4:7" ht="14">
      <c r="D985" s="2"/>
      <c r="E985" s="2"/>
      <c r="F985" s="2"/>
      <c r="G985" s="2"/>
    </row>
    <row r="986" spans="4:7" ht="14">
      <c r="D986" s="2"/>
      <c r="E986" s="2"/>
      <c r="F986" s="2"/>
      <c r="G986" s="2"/>
    </row>
    <row r="987" spans="4:7" ht="14">
      <c r="D987" s="2"/>
      <c r="E987" s="2"/>
      <c r="F987" s="2"/>
      <c r="G987" s="2"/>
    </row>
    <row r="988" spans="4:7" ht="14">
      <c r="D988" s="2"/>
      <c r="E988" s="2"/>
      <c r="F988" s="2"/>
      <c r="G988" s="2"/>
    </row>
    <row r="989" spans="4:7" ht="14">
      <c r="D989" s="2"/>
      <c r="E989" s="2"/>
      <c r="F989" s="2"/>
      <c r="G989" s="2"/>
    </row>
    <row r="990" spans="4:7" ht="14">
      <c r="D990" s="2"/>
      <c r="E990" s="2"/>
      <c r="F990" s="2"/>
      <c r="G990" s="2"/>
    </row>
    <row r="991" spans="4:7" ht="14">
      <c r="D991" s="2"/>
      <c r="E991" s="2"/>
      <c r="F991" s="2"/>
      <c r="G991" s="2"/>
    </row>
    <row r="992" spans="4:7" ht="14">
      <c r="D992" s="2"/>
      <c r="E992" s="2"/>
      <c r="F992" s="2"/>
      <c r="G992" s="2"/>
    </row>
    <row r="993" spans="4:7" ht="14">
      <c r="D993" s="2"/>
      <c r="E993" s="2"/>
      <c r="F993" s="2"/>
      <c r="G993" s="2"/>
    </row>
    <row r="994" spans="4:7" ht="14">
      <c r="D994" s="2"/>
      <c r="E994" s="2"/>
      <c r="F994" s="2"/>
      <c r="G994" s="2"/>
    </row>
    <row r="995" spans="4:7" ht="14">
      <c r="D995" s="2"/>
      <c r="E995" s="2"/>
      <c r="F995" s="2"/>
      <c r="G995" s="2"/>
    </row>
    <row r="996" spans="4:7" ht="14">
      <c r="D996" s="2"/>
      <c r="E996" s="2"/>
      <c r="F996" s="2"/>
      <c r="G996" s="2"/>
    </row>
    <row r="997" spans="4:7" ht="14">
      <c r="D997" s="2"/>
      <c r="E997" s="2"/>
      <c r="F997" s="2"/>
      <c r="G997" s="2"/>
    </row>
    <row r="998" spans="4:7" ht="14">
      <c r="D998" s="2"/>
      <c r="E998" s="2"/>
      <c r="F998" s="2"/>
      <c r="G998" s="2"/>
    </row>
    <row r="999" spans="4:7" ht="14">
      <c r="D999" s="2"/>
      <c r="E999" s="2"/>
      <c r="F999" s="2"/>
      <c r="G999" s="2"/>
    </row>
    <row r="1000" spans="4:7" ht="14">
      <c r="D1000" s="2"/>
      <c r="E1000" s="2"/>
      <c r="F1000" s="2"/>
      <c r="G1000" s="2"/>
    </row>
    <row r="1001" spans="4:7" ht="14">
      <c r="D1001" s="2"/>
      <c r="E1001" s="2"/>
      <c r="F1001" s="2"/>
      <c r="G1001" s="2"/>
    </row>
    <row r="1002" spans="4:7" ht="14">
      <c r="D1002" s="2"/>
      <c r="E1002" s="2"/>
      <c r="F1002" s="2"/>
      <c r="G1002" s="2"/>
    </row>
    <row r="1003" spans="4:7" ht="14">
      <c r="D1003" s="2"/>
      <c r="E1003" s="2"/>
      <c r="F1003" s="2"/>
      <c r="G1003" s="2"/>
    </row>
    <row r="1004" spans="4:7" ht="14">
      <c r="D1004" s="2"/>
      <c r="E1004" s="2"/>
      <c r="F1004" s="2"/>
      <c r="G1004" s="2"/>
    </row>
    <row r="1005" spans="4:7" ht="14">
      <c r="D1005" s="2"/>
      <c r="E1005" s="2"/>
      <c r="F1005" s="2"/>
      <c r="G1005" s="2"/>
    </row>
    <row r="1006" spans="4:7" ht="14">
      <c r="D1006" s="2"/>
      <c r="E1006" s="2"/>
      <c r="F1006" s="2"/>
      <c r="G1006" s="2"/>
    </row>
    <row r="1007" spans="4:7" ht="14">
      <c r="D1007" s="2"/>
      <c r="E1007" s="2"/>
      <c r="F1007" s="2"/>
      <c r="G1007" s="2"/>
    </row>
    <row r="1008" spans="4:7" ht="14">
      <c r="D1008" s="2"/>
      <c r="E1008" s="2"/>
      <c r="F1008" s="2"/>
      <c r="G1008" s="2"/>
    </row>
    <row r="1009" spans="4:7" ht="14">
      <c r="D1009" s="2"/>
      <c r="E1009" s="2"/>
      <c r="F1009" s="2"/>
      <c r="G1009" s="2"/>
    </row>
    <row r="1010" spans="4:7" ht="14">
      <c r="D1010" s="2"/>
      <c r="E1010" s="2"/>
      <c r="F1010" s="2"/>
      <c r="G1010" s="2"/>
    </row>
    <row r="1011" spans="4:7" ht="14">
      <c r="D1011" s="2"/>
      <c r="E1011" s="2"/>
      <c r="F1011" s="2"/>
      <c r="G1011" s="2"/>
    </row>
    <row r="1012" spans="4:7" ht="14">
      <c r="D1012" s="2"/>
      <c r="E1012" s="2"/>
      <c r="F1012" s="2"/>
      <c r="G1012" s="2"/>
    </row>
    <row r="1013" spans="4:7" ht="14">
      <c r="D1013" s="2"/>
      <c r="E1013" s="2"/>
      <c r="F1013" s="2"/>
      <c r="G1013" s="2"/>
    </row>
    <row r="1014" spans="4:7" ht="14">
      <c r="D1014" s="2"/>
      <c r="E1014" s="2"/>
      <c r="F1014" s="2"/>
      <c r="G1014" s="2"/>
    </row>
    <row r="1015" spans="4:7" ht="14">
      <c r="D1015" s="2"/>
      <c r="E1015" s="2"/>
      <c r="F1015" s="2"/>
      <c r="G1015" s="2"/>
    </row>
    <row r="1016" spans="4:7" ht="14">
      <c r="D1016" s="2"/>
      <c r="E1016" s="2"/>
      <c r="F1016" s="2"/>
      <c r="G1016" s="2"/>
    </row>
    <row r="1017" spans="4:7" ht="14">
      <c r="D1017" s="2"/>
      <c r="E1017" s="2"/>
      <c r="F1017" s="2"/>
      <c r="G1017" s="2"/>
    </row>
    <row r="1018" spans="4:7" ht="14">
      <c r="D1018" s="2"/>
      <c r="E1018" s="2"/>
      <c r="F1018" s="2"/>
      <c r="G1018" s="2"/>
    </row>
    <row r="1019" spans="4:7" ht="14">
      <c r="D1019" s="2"/>
      <c r="E1019" s="2"/>
      <c r="F1019" s="2"/>
      <c r="G1019" s="2"/>
    </row>
    <row r="1020" spans="4:7" ht="14">
      <c r="D1020" s="2"/>
      <c r="E1020" s="2"/>
      <c r="F1020" s="2"/>
      <c r="G1020" s="2"/>
    </row>
    <row r="1021" spans="4:7" ht="14">
      <c r="D1021" s="2"/>
      <c r="E1021" s="2"/>
      <c r="F1021" s="2"/>
      <c r="G1021" s="2"/>
    </row>
    <row r="1022" spans="4:7" ht="14">
      <c r="D1022" s="2"/>
      <c r="E1022" s="2"/>
      <c r="F1022" s="2"/>
      <c r="G1022" s="2"/>
    </row>
    <row r="1023" spans="4:7" ht="14">
      <c r="D1023" s="2"/>
      <c r="E1023" s="2"/>
      <c r="F1023" s="2"/>
      <c r="G1023" s="2"/>
    </row>
    <row r="1024" spans="4:7" ht="14">
      <c r="D1024" s="2"/>
      <c r="E1024" s="2"/>
      <c r="F1024" s="2"/>
      <c r="G1024" s="2"/>
    </row>
    <row r="1025" spans="4:7" ht="14">
      <c r="D1025" s="2"/>
      <c r="E1025" s="2"/>
      <c r="F1025" s="2"/>
      <c r="G1025" s="2"/>
    </row>
    <row r="1026" spans="4:7" ht="14">
      <c r="D1026" s="2"/>
      <c r="E1026" s="2"/>
      <c r="F1026" s="2"/>
      <c r="G1026" s="2"/>
    </row>
    <row r="1027" spans="4:7" ht="14">
      <c r="D1027" s="2"/>
      <c r="E1027" s="2"/>
      <c r="F1027" s="2"/>
      <c r="G1027" s="2"/>
    </row>
    <row r="1028" spans="4:7" ht="14">
      <c r="D1028" s="2"/>
      <c r="E1028" s="2"/>
      <c r="F1028" s="2"/>
      <c r="G1028" s="2"/>
    </row>
    <row r="1029" spans="4:7" ht="14">
      <c r="D1029" s="2"/>
      <c r="E1029" s="2"/>
      <c r="F1029" s="2"/>
      <c r="G1029" s="2"/>
    </row>
    <row r="1030" spans="4:7" ht="14">
      <c r="D1030" s="2"/>
      <c r="E1030" s="2"/>
      <c r="F1030" s="2"/>
      <c r="G1030" s="2"/>
    </row>
    <row r="1031" spans="4:7" ht="14">
      <c r="D1031" s="2"/>
      <c r="E1031" s="2"/>
      <c r="F1031" s="2"/>
      <c r="G1031" s="2"/>
    </row>
    <row r="1032" spans="4:7" ht="14">
      <c r="D1032" s="2"/>
      <c r="E1032" s="2"/>
      <c r="F1032" s="2"/>
      <c r="G1032" s="2"/>
    </row>
    <row r="1033" spans="4:7" ht="14">
      <c r="D1033" s="2"/>
      <c r="E1033" s="2"/>
      <c r="F1033" s="2"/>
      <c r="G1033" s="2"/>
    </row>
    <row r="1034" spans="4:7" ht="14">
      <c r="D1034" s="2"/>
      <c r="E1034" s="2"/>
      <c r="F1034" s="2"/>
      <c r="G1034" s="2"/>
    </row>
    <row r="1035" spans="4:7" ht="14">
      <c r="D1035" s="2"/>
      <c r="E1035" s="2"/>
      <c r="F1035" s="2"/>
      <c r="G1035" s="2"/>
    </row>
    <row r="1036" spans="4:7" ht="14">
      <c r="D1036" s="2"/>
      <c r="E1036" s="2"/>
      <c r="F1036" s="2"/>
      <c r="G1036" s="2"/>
    </row>
    <row r="1037" spans="4:7" ht="14">
      <c r="D1037" s="2"/>
      <c r="E1037" s="2"/>
      <c r="F1037" s="2"/>
      <c r="G1037" s="2"/>
    </row>
    <row r="1038" spans="4:7" ht="14">
      <c r="D1038" s="2"/>
      <c r="E1038" s="2"/>
      <c r="F1038" s="2"/>
      <c r="G1038" s="2"/>
    </row>
    <row r="1039" spans="4:7" ht="14">
      <c r="D1039" s="2"/>
      <c r="E1039" s="2"/>
      <c r="F1039" s="2"/>
      <c r="G1039" s="2"/>
    </row>
    <row r="1040" spans="4:7" ht="14">
      <c r="D1040" s="2"/>
      <c r="E1040" s="2"/>
      <c r="F1040" s="2"/>
      <c r="G1040" s="2"/>
    </row>
    <row r="1041" spans="4:7" ht="14">
      <c r="D1041" s="2"/>
      <c r="E1041" s="2"/>
      <c r="F1041" s="2"/>
      <c r="G1041" s="2"/>
    </row>
    <row r="1042" spans="4:7" ht="14">
      <c r="D1042" s="2"/>
      <c r="E1042" s="2"/>
      <c r="F1042" s="2"/>
      <c r="G1042" s="2"/>
    </row>
    <row r="1043" spans="4:7" ht="14">
      <c r="D1043" s="2"/>
      <c r="E1043" s="2"/>
      <c r="F1043" s="2"/>
      <c r="G1043" s="2"/>
    </row>
    <row r="1044" spans="4:7" ht="14">
      <c r="D1044" s="2"/>
      <c r="E1044" s="2"/>
      <c r="F1044" s="2"/>
      <c r="G1044" s="2"/>
    </row>
    <row r="1045" spans="4:7" ht="14">
      <c r="D1045" s="2"/>
      <c r="E1045" s="2"/>
      <c r="F1045" s="2"/>
      <c r="G1045" s="2"/>
    </row>
    <row r="1046" spans="4:7" ht="14">
      <c r="D1046" s="2"/>
      <c r="E1046" s="2"/>
      <c r="F1046" s="2"/>
      <c r="G1046" s="2"/>
    </row>
    <row r="1047" spans="4:7" ht="14">
      <c r="D1047" s="2"/>
      <c r="E1047" s="2"/>
      <c r="F1047" s="2"/>
      <c r="G1047" s="2"/>
    </row>
    <row r="1048" spans="4:7" ht="14">
      <c r="D1048" s="2"/>
      <c r="E1048" s="2"/>
      <c r="F1048" s="2"/>
      <c r="G1048" s="2"/>
    </row>
    <row r="1049" spans="4:7" ht="14">
      <c r="D1049" s="2"/>
      <c r="E1049" s="2"/>
      <c r="F1049" s="2"/>
      <c r="G1049" s="2"/>
    </row>
    <row r="1050" spans="4:7" ht="14">
      <c r="D1050" s="2"/>
      <c r="E1050" s="2"/>
      <c r="F1050" s="2"/>
      <c r="G1050" s="2"/>
    </row>
    <row r="1051" spans="4:7" ht="14">
      <c r="D1051" s="2"/>
      <c r="E1051" s="2"/>
      <c r="F1051" s="2"/>
      <c r="G1051" s="2"/>
    </row>
    <row r="1052" spans="4:7" ht="14">
      <c r="D1052" s="2"/>
      <c r="E1052" s="2"/>
      <c r="F1052" s="2"/>
      <c r="G1052" s="2"/>
    </row>
    <row r="1053" spans="4:7" ht="14">
      <c r="D1053" s="2"/>
      <c r="E1053" s="2"/>
      <c r="F1053" s="2"/>
      <c r="G1053" s="2"/>
    </row>
    <row r="1054" spans="4:7" ht="14">
      <c r="D1054" s="2"/>
      <c r="E1054" s="2"/>
      <c r="F1054" s="2"/>
      <c r="G1054" s="2"/>
    </row>
    <row r="1055" spans="4:7" ht="14">
      <c r="D1055" s="2"/>
      <c r="E1055" s="2"/>
      <c r="F1055" s="2"/>
      <c r="G1055" s="2"/>
    </row>
    <row r="1056" spans="4:7" ht="14">
      <c r="D1056" s="2"/>
      <c r="E1056" s="2"/>
      <c r="F1056" s="2"/>
      <c r="G1056" s="2"/>
    </row>
    <row r="1057" spans="4:7" ht="14">
      <c r="D1057" s="2"/>
      <c r="E1057" s="2"/>
      <c r="F1057" s="2"/>
      <c r="G1057" s="2"/>
    </row>
    <row r="1058" spans="4:7" ht="14">
      <c r="D1058" s="2"/>
      <c r="E1058" s="2"/>
      <c r="F1058" s="2"/>
      <c r="G1058" s="2"/>
    </row>
    <row r="1059" spans="4:7" ht="14">
      <c r="D1059" s="2"/>
      <c r="E1059" s="2"/>
      <c r="F1059" s="2"/>
      <c r="G1059" s="2"/>
    </row>
    <row r="1060" spans="4:7" ht="14">
      <c r="D1060" s="2"/>
      <c r="E1060" s="2"/>
      <c r="F1060" s="2"/>
      <c r="G1060" s="2"/>
    </row>
    <row r="1061" spans="4:7" ht="14">
      <c r="D1061" s="2"/>
      <c r="E1061" s="2"/>
      <c r="F1061" s="2"/>
      <c r="G1061" s="2"/>
    </row>
    <row r="1062" spans="4:7" ht="14">
      <c r="D1062" s="2"/>
      <c r="E1062" s="2"/>
      <c r="F1062" s="2"/>
      <c r="G1062" s="2"/>
    </row>
    <row r="1063" spans="4:7" ht="14">
      <c r="D1063" s="2"/>
      <c r="E1063" s="2"/>
      <c r="F1063" s="2"/>
      <c r="G1063" s="2"/>
    </row>
    <row r="1064" spans="4:7" ht="14">
      <c r="D1064" s="2"/>
      <c r="E1064" s="2"/>
      <c r="F1064" s="2"/>
      <c r="G1064" s="2"/>
    </row>
    <row r="1065" spans="4:7" ht="14">
      <c r="D1065" s="2"/>
      <c r="E1065" s="2"/>
      <c r="F1065" s="2"/>
      <c r="G1065" s="2"/>
    </row>
    <row r="1066" spans="4:7" ht="14">
      <c r="D1066" s="2"/>
      <c r="E1066" s="2"/>
      <c r="F1066" s="2"/>
      <c r="G1066" s="2"/>
    </row>
    <row r="1067" spans="4:7" ht="14">
      <c r="D1067" s="2"/>
      <c r="E1067" s="2"/>
      <c r="F1067" s="2"/>
      <c r="G1067" s="2"/>
    </row>
    <row r="1068" spans="4:7" ht="14">
      <c r="D1068" s="2"/>
      <c r="E1068" s="2"/>
      <c r="F1068" s="2"/>
      <c r="G1068" s="2"/>
    </row>
    <row r="1069" spans="4:7" ht="14">
      <c r="D1069" s="2"/>
      <c r="E1069" s="2"/>
      <c r="F1069" s="2"/>
      <c r="G1069" s="2"/>
    </row>
    <row r="1070" spans="4:7" ht="14">
      <c r="D1070" s="2"/>
      <c r="E1070" s="2"/>
      <c r="F1070" s="2"/>
      <c r="G1070" s="2"/>
    </row>
    <row r="1071" spans="4:7" ht="14">
      <c r="D1071" s="2"/>
      <c r="E1071" s="2"/>
      <c r="F1071" s="2"/>
      <c r="G1071" s="2"/>
    </row>
    <row r="1072" spans="4:7" ht="14">
      <c r="D1072" s="2"/>
      <c r="E1072" s="2"/>
      <c r="F1072" s="2"/>
      <c r="G1072" s="2"/>
    </row>
    <row r="1073" spans="4:7" ht="14">
      <c r="D1073" s="2"/>
      <c r="E1073" s="2"/>
      <c r="F1073" s="2"/>
      <c r="G1073" s="2"/>
    </row>
    <row r="1074" spans="4:7" ht="14">
      <c r="D1074" s="2"/>
      <c r="E1074" s="2"/>
      <c r="F1074" s="2"/>
      <c r="G1074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757B-7BB1-654C-93A0-663733BA707E}">
  <dimension ref="A1:O112"/>
  <sheetViews>
    <sheetView zoomScale="50" workbookViewId="0">
      <selection activeCell="J101" sqref="J101"/>
    </sheetView>
  </sheetViews>
  <sheetFormatPr baseColWidth="10" defaultRowHeight="14"/>
  <cols>
    <col min="1" max="1" width="16" style="24" customWidth="1"/>
    <col min="2" max="5" width="10.83203125" style="24"/>
    <col min="6" max="6" width="30.6640625" style="24" bestFit="1" customWidth="1"/>
    <col min="7" max="7" width="44" style="24" bestFit="1" customWidth="1"/>
    <col min="8" max="16384" width="10.83203125" style="24"/>
  </cols>
  <sheetData>
    <row r="1" spans="1:14">
      <c r="A1" s="48" t="s">
        <v>166</v>
      </c>
      <c r="B1" s="48" t="s">
        <v>167</v>
      </c>
      <c r="C1" s="48" t="s">
        <v>168</v>
      </c>
      <c r="D1" s="48" t="s">
        <v>169</v>
      </c>
      <c r="E1" s="48" t="s">
        <v>170</v>
      </c>
      <c r="F1" s="48" t="s">
        <v>171</v>
      </c>
      <c r="G1" s="48" t="s">
        <v>172</v>
      </c>
      <c r="H1" s="48" t="s">
        <v>173</v>
      </c>
      <c r="I1" s="49" t="s">
        <v>174</v>
      </c>
      <c r="J1" s="99" t="s">
        <v>14</v>
      </c>
      <c r="K1" s="99"/>
      <c r="L1" s="99" t="s">
        <v>13</v>
      </c>
      <c r="M1" s="99"/>
      <c r="N1" s="40"/>
    </row>
    <row r="2" spans="1:14" ht="16">
      <c r="A2" s="40"/>
      <c r="B2" s="40"/>
      <c r="C2" s="40"/>
      <c r="D2" s="40"/>
      <c r="E2" s="40"/>
      <c r="F2" s="40"/>
      <c r="G2" s="40"/>
      <c r="H2" s="40"/>
      <c r="I2" s="40"/>
      <c r="J2" s="25" t="s">
        <v>175</v>
      </c>
      <c r="K2" s="26" t="s">
        <v>176</v>
      </c>
      <c r="L2" s="25" t="s">
        <v>177</v>
      </c>
      <c r="M2" s="26" t="s">
        <v>178</v>
      </c>
      <c r="N2" s="40"/>
    </row>
    <row r="3" spans="1:14" ht="15">
      <c r="A3" s="37">
        <v>44933.556944444441</v>
      </c>
      <c r="B3" s="50"/>
      <c r="C3" s="40"/>
      <c r="D3" s="38"/>
      <c r="E3" s="40"/>
      <c r="F3" s="39"/>
      <c r="G3" s="40"/>
      <c r="H3" s="40">
        <v>586</v>
      </c>
      <c r="I3" s="39">
        <f>H3/13.27321775</f>
        <v>44.14905345766666</v>
      </c>
      <c r="J3" s="41">
        <v>-1.6</v>
      </c>
      <c r="K3" s="41">
        <v>5.0999999999999996</v>
      </c>
      <c r="L3" s="42">
        <v>0.04</v>
      </c>
      <c r="M3" s="42">
        <v>0.15</v>
      </c>
      <c r="N3" s="43">
        <f>K3-(8*J3)</f>
        <v>17.899999999999999</v>
      </c>
    </row>
    <row r="4" spans="1:14">
      <c r="A4" s="51">
        <v>44942</v>
      </c>
      <c r="B4" s="52"/>
      <c r="C4" s="53">
        <v>0.70833333333333337</v>
      </c>
      <c r="D4" s="52"/>
      <c r="E4" s="52" t="s">
        <v>182</v>
      </c>
      <c r="F4" s="52"/>
      <c r="G4" s="40"/>
      <c r="H4" s="54">
        <v>766.9</v>
      </c>
      <c r="I4" s="52" t="s">
        <v>285</v>
      </c>
      <c r="J4" s="28">
        <v>0.7</v>
      </c>
      <c r="K4" s="28">
        <v>12.4</v>
      </c>
      <c r="L4" s="30">
        <v>0.04</v>
      </c>
      <c r="M4" s="30">
        <v>0.26</v>
      </c>
      <c r="N4" s="55">
        <f>K4-8*J4</f>
        <v>6.8000000000000007</v>
      </c>
    </row>
    <row r="5" spans="1:14" ht="15">
      <c r="A5" s="37">
        <v>44954.725694444445</v>
      </c>
      <c r="B5" s="50"/>
      <c r="C5" s="40"/>
      <c r="D5" s="38"/>
      <c r="E5" s="40"/>
      <c r="F5" s="39"/>
      <c r="G5" s="40"/>
      <c r="H5" s="40">
        <v>164</v>
      </c>
      <c r="I5" s="39">
        <f>H5/13.27321775</f>
        <v>12.355707793613195</v>
      </c>
      <c r="J5" s="41">
        <v>-1.9</v>
      </c>
      <c r="K5" s="41">
        <v>3.5</v>
      </c>
      <c r="L5" s="42">
        <v>0.01</v>
      </c>
      <c r="M5" s="42">
        <v>0.06</v>
      </c>
      <c r="N5" s="43">
        <f>K5-(8*J5)</f>
        <v>18.7</v>
      </c>
    </row>
    <row r="6" spans="1:14" ht="15">
      <c r="A6" s="37">
        <v>44955.6875</v>
      </c>
      <c r="B6" s="50"/>
      <c r="C6" s="40"/>
      <c r="D6" s="38"/>
      <c r="E6" s="40"/>
      <c r="F6" s="39"/>
      <c r="G6" s="40"/>
      <c r="H6" s="40">
        <v>338</v>
      </c>
      <c r="I6" s="39">
        <f>H6/13.27321775</f>
        <v>25.46481240391012</v>
      </c>
      <c r="J6" s="41">
        <v>-3.5</v>
      </c>
      <c r="K6" s="41">
        <v>-9.6</v>
      </c>
      <c r="L6" s="42">
        <v>0.05</v>
      </c>
      <c r="M6" s="42">
        <v>0.24</v>
      </c>
      <c r="N6" s="43">
        <f>K6-(8*J6)</f>
        <v>18.399999999999999</v>
      </c>
    </row>
    <row r="7" spans="1:14">
      <c r="A7" s="51">
        <v>44956</v>
      </c>
      <c r="B7" s="52"/>
      <c r="C7" s="53">
        <v>0.70833333333333337</v>
      </c>
      <c r="D7" s="52"/>
      <c r="E7" s="52" t="s">
        <v>182</v>
      </c>
      <c r="F7" s="52"/>
      <c r="G7" s="40"/>
      <c r="H7" s="54">
        <v>1726.9</v>
      </c>
      <c r="I7" s="52" t="s">
        <v>286</v>
      </c>
      <c r="J7" s="28">
        <v>-4.8</v>
      </c>
      <c r="K7" s="28">
        <v>-20.5</v>
      </c>
      <c r="L7" s="30">
        <v>0.01</v>
      </c>
      <c r="M7" s="30">
        <v>7.0000000000000007E-2</v>
      </c>
      <c r="N7" s="55">
        <f>K7-8*J7</f>
        <v>17.899999999999999</v>
      </c>
    </row>
    <row r="8" spans="1:14" ht="15">
      <c r="A8" s="37">
        <v>44959.709722222222</v>
      </c>
      <c r="B8" s="50"/>
      <c r="C8" s="40"/>
      <c r="D8" s="38"/>
      <c r="E8" s="40"/>
      <c r="F8" s="39"/>
      <c r="G8" s="40"/>
      <c r="H8" s="40">
        <v>394</v>
      </c>
      <c r="I8" s="39">
        <f>H8/13.27321775</f>
        <v>29.683834577339017</v>
      </c>
      <c r="J8" s="41">
        <v>-6.9</v>
      </c>
      <c r="K8" s="41">
        <v>-44.4</v>
      </c>
      <c r="L8" s="42">
        <v>0.03</v>
      </c>
      <c r="M8" s="42">
        <v>0.19</v>
      </c>
      <c r="N8" s="43">
        <f>K8-(8*J8)</f>
        <v>10.800000000000004</v>
      </c>
    </row>
    <row r="9" spans="1:14">
      <c r="A9" s="56">
        <v>44967</v>
      </c>
      <c r="B9" s="53">
        <v>0.52083333333333337</v>
      </c>
      <c r="C9" s="27"/>
      <c r="D9" s="52" t="s">
        <v>179</v>
      </c>
      <c r="E9" s="52"/>
      <c r="F9" s="52"/>
      <c r="G9" s="52"/>
      <c r="H9" s="54">
        <v>318.5</v>
      </c>
      <c r="I9" s="52" t="s">
        <v>180</v>
      </c>
      <c r="J9" s="28">
        <v>-2.4</v>
      </c>
      <c r="K9" s="28">
        <v>-8.4</v>
      </c>
      <c r="L9" s="29">
        <v>0.01</v>
      </c>
      <c r="M9" s="29">
        <v>0.08</v>
      </c>
      <c r="N9" s="55">
        <f>K9-8*J9</f>
        <v>10.799999999999999</v>
      </c>
    </row>
    <row r="10" spans="1:14">
      <c r="A10" s="56">
        <v>44967</v>
      </c>
      <c r="B10" s="52"/>
      <c r="C10" s="52"/>
      <c r="D10" s="52"/>
      <c r="E10" s="52" t="s">
        <v>179</v>
      </c>
      <c r="F10" s="52"/>
      <c r="G10" s="52"/>
      <c r="H10" s="52"/>
      <c r="I10" s="52" t="s">
        <v>226</v>
      </c>
      <c r="J10" s="28">
        <v>-2.5</v>
      </c>
      <c r="K10" s="28">
        <v>-7</v>
      </c>
      <c r="L10" s="30">
        <v>0.05</v>
      </c>
      <c r="M10" s="30">
        <v>0.35</v>
      </c>
      <c r="N10" s="55">
        <f>K10-8*J10</f>
        <v>13</v>
      </c>
    </row>
    <row r="11" spans="1:14" ht="15">
      <c r="A11" s="37">
        <v>44972.679861111108</v>
      </c>
      <c r="B11" s="50"/>
      <c r="C11" s="40"/>
      <c r="D11" s="38"/>
      <c r="E11" s="40"/>
      <c r="F11" s="39"/>
      <c r="G11" s="40"/>
      <c r="H11" s="40">
        <v>583</v>
      </c>
      <c r="I11" s="39">
        <f>H11/13.27321775</f>
        <v>43.923034412661536</v>
      </c>
      <c r="J11" s="41">
        <v>-5.0999999999999996</v>
      </c>
      <c r="K11" s="41">
        <v>-27.3</v>
      </c>
      <c r="L11" s="42">
        <v>0.02</v>
      </c>
      <c r="M11" s="42">
        <v>0.14000000000000001</v>
      </c>
      <c r="N11" s="43">
        <f>K11-(8*J11)</f>
        <v>13.499999999999996</v>
      </c>
    </row>
    <row r="12" spans="1:14">
      <c r="A12" s="56">
        <v>44974</v>
      </c>
      <c r="B12" s="52"/>
      <c r="C12" s="52"/>
      <c r="D12" s="52"/>
      <c r="E12" s="52" t="s">
        <v>179</v>
      </c>
      <c r="F12" s="52"/>
      <c r="G12" s="52"/>
      <c r="H12" s="52"/>
      <c r="I12" s="52" t="s">
        <v>227</v>
      </c>
      <c r="J12" s="28">
        <v>-6</v>
      </c>
      <c r="K12" s="28">
        <v>-37.1</v>
      </c>
      <c r="L12" s="30">
        <v>0.01</v>
      </c>
      <c r="M12" s="30">
        <v>7.0000000000000007E-2</v>
      </c>
      <c r="N12" s="55">
        <f>K12-8*J12</f>
        <v>10.899999999999999</v>
      </c>
    </row>
    <row r="13" spans="1:14" ht="15">
      <c r="A13" s="37">
        <v>44975.347916666666</v>
      </c>
      <c r="B13" s="50"/>
      <c r="C13" s="40"/>
      <c r="D13" s="38"/>
      <c r="E13" s="40"/>
      <c r="F13" s="39"/>
      <c r="G13" s="40"/>
      <c r="H13" s="40">
        <v>481</v>
      </c>
      <c r="I13" s="39">
        <f>H13/13.27321775</f>
        <v>36.238386882487482</v>
      </c>
      <c r="J13" s="41">
        <v>-13</v>
      </c>
      <c r="K13" s="41">
        <v>-100.7</v>
      </c>
      <c r="L13" s="42">
        <v>0.02</v>
      </c>
      <c r="M13" s="42">
        <v>0.23</v>
      </c>
      <c r="N13" s="43">
        <f>K13-(8*J13)</f>
        <v>3.2999999999999972</v>
      </c>
    </row>
    <row r="14" spans="1:14" ht="15">
      <c r="A14" s="37">
        <v>44977.697916666664</v>
      </c>
      <c r="B14" s="50"/>
      <c r="C14" s="40"/>
      <c r="D14" s="38"/>
      <c r="E14" s="40"/>
      <c r="F14" s="39"/>
      <c r="G14" s="40"/>
      <c r="H14" s="40">
        <v>322</v>
      </c>
      <c r="I14" s="39">
        <f>H14/13.27321775</f>
        <v>24.25937749721615</v>
      </c>
      <c r="J14" s="41">
        <v>-3.6</v>
      </c>
      <c r="K14" s="41">
        <v>-14.8</v>
      </c>
      <c r="L14" s="42">
        <v>0.03</v>
      </c>
      <c r="M14" s="42">
        <v>7.0000000000000007E-2</v>
      </c>
      <c r="N14" s="43">
        <f>K14-(8*J14)</f>
        <v>14</v>
      </c>
    </row>
    <row r="15" spans="1:14">
      <c r="A15" s="56">
        <v>44981</v>
      </c>
      <c r="B15" s="53">
        <v>0.5625</v>
      </c>
      <c r="C15" s="27"/>
      <c r="D15" s="52" t="s">
        <v>179</v>
      </c>
      <c r="E15" s="52"/>
      <c r="F15" s="52"/>
      <c r="G15" s="52"/>
      <c r="H15" s="54">
        <v>990</v>
      </c>
      <c r="I15" s="52" t="s">
        <v>181</v>
      </c>
      <c r="J15" s="28">
        <v>-3.8</v>
      </c>
      <c r="K15" s="28">
        <v>-20.6</v>
      </c>
      <c r="L15" s="29">
        <v>0.03</v>
      </c>
      <c r="M15" s="29">
        <v>0.09</v>
      </c>
      <c r="N15" s="55">
        <f>K15-8*J15</f>
        <v>9.7999999999999972</v>
      </c>
    </row>
    <row r="16" spans="1:14">
      <c r="A16" s="56">
        <v>44981</v>
      </c>
      <c r="B16" s="52"/>
      <c r="C16" s="52"/>
      <c r="D16" s="52"/>
      <c r="E16" s="52" t="s">
        <v>182</v>
      </c>
      <c r="F16" s="52"/>
      <c r="G16" s="52"/>
      <c r="H16" s="52"/>
      <c r="I16" s="52" t="s">
        <v>228</v>
      </c>
      <c r="J16" s="28">
        <v>-3.1</v>
      </c>
      <c r="K16" s="28">
        <v>-13.6</v>
      </c>
      <c r="L16" s="30">
        <v>0.01</v>
      </c>
      <c r="M16" s="30">
        <v>0.14000000000000001</v>
      </c>
      <c r="N16" s="55">
        <f>K16-8*J16</f>
        <v>11.200000000000001</v>
      </c>
    </row>
    <row r="17" spans="1:14">
      <c r="A17" s="51">
        <v>44982</v>
      </c>
      <c r="B17" s="52"/>
      <c r="C17" s="53">
        <v>0.70833333333333337</v>
      </c>
      <c r="D17" s="52"/>
      <c r="E17" s="52" t="s">
        <v>182</v>
      </c>
      <c r="F17" s="52"/>
      <c r="G17" s="40"/>
      <c r="H17" s="54">
        <v>2910.5</v>
      </c>
      <c r="I17" s="52" t="s">
        <v>287</v>
      </c>
      <c r="J17" s="28">
        <v>-7.2</v>
      </c>
      <c r="K17" s="28">
        <v>-46.9</v>
      </c>
      <c r="L17" s="30">
        <v>0.03</v>
      </c>
      <c r="M17" s="30">
        <v>0.18</v>
      </c>
      <c r="N17" s="55">
        <f>K17-8*J17</f>
        <v>10.700000000000003</v>
      </c>
    </row>
    <row r="18" spans="1:14" ht="15">
      <c r="A18" s="37">
        <v>44986.451388888891</v>
      </c>
      <c r="B18" s="50"/>
      <c r="C18" s="40"/>
      <c r="D18" s="38"/>
      <c r="E18" s="40"/>
      <c r="F18" s="39"/>
      <c r="G18" s="40"/>
      <c r="H18" s="40">
        <v>214</v>
      </c>
      <c r="I18" s="39">
        <f>H18/13.27321775</f>
        <v>16.122691877031851</v>
      </c>
      <c r="J18" s="41">
        <v>-2.5</v>
      </c>
      <c r="K18" s="41">
        <v>-6</v>
      </c>
      <c r="L18" s="42">
        <v>0.02</v>
      </c>
      <c r="M18" s="42">
        <v>0.19</v>
      </c>
      <c r="N18" s="43">
        <f>K18-(8*J18)</f>
        <v>14</v>
      </c>
    </row>
    <row r="19" spans="1:14">
      <c r="A19" s="56">
        <v>44988</v>
      </c>
      <c r="B19" s="53">
        <v>0.5</v>
      </c>
      <c r="C19" s="27"/>
      <c r="D19" s="52" t="s">
        <v>182</v>
      </c>
      <c r="E19" s="52"/>
      <c r="F19" s="52"/>
      <c r="G19" s="52"/>
      <c r="H19" s="54">
        <v>578.29999999999995</v>
      </c>
      <c r="I19" s="52" t="s">
        <v>183</v>
      </c>
      <c r="J19" s="28">
        <v>-2</v>
      </c>
      <c r="K19" s="28">
        <v>-3.2</v>
      </c>
      <c r="L19" s="29">
        <v>0.01</v>
      </c>
      <c r="M19" s="29">
        <v>7.0000000000000007E-2</v>
      </c>
      <c r="N19" s="55">
        <f>K19-8*J19</f>
        <v>12.8</v>
      </c>
    </row>
    <row r="20" spans="1:14">
      <c r="A20" s="56">
        <v>44988</v>
      </c>
      <c r="B20" s="52"/>
      <c r="C20" s="52"/>
      <c r="D20" s="52"/>
      <c r="E20" s="52" t="s">
        <v>182</v>
      </c>
      <c r="F20" s="52"/>
      <c r="G20" s="52"/>
      <c r="H20" s="52"/>
      <c r="I20" s="52" t="s">
        <v>229</v>
      </c>
      <c r="J20" s="28">
        <v>-3</v>
      </c>
      <c r="K20" s="28">
        <v>-6.7</v>
      </c>
      <c r="L20" s="30">
        <v>0.02</v>
      </c>
      <c r="M20" s="30">
        <v>0.06</v>
      </c>
      <c r="N20" s="55">
        <f>K20-8*J20</f>
        <v>17.3</v>
      </c>
    </row>
    <row r="21" spans="1:14" ht="15">
      <c r="A21" s="37">
        <v>44990.583333333336</v>
      </c>
      <c r="B21" s="50"/>
      <c r="C21" s="40"/>
      <c r="D21" s="38"/>
      <c r="E21" s="40"/>
      <c r="F21" s="39"/>
      <c r="G21" s="40"/>
      <c r="H21" s="40">
        <v>490</v>
      </c>
      <c r="I21" s="39">
        <f>H21/13.27321775</f>
        <v>36.91644401750284</v>
      </c>
      <c r="J21" s="41">
        <v>-4.4000000000000004</v>
      </c>
      <c r="K21" s="41">
        <v>-22.2</v>
      </c>
      <c r="L21" s="42">
        <v>0.01</v>
      </c>
      <c r="M21" s="42">
        <v>0.13</v>
      </c>
      <c r="N21" s="43">
        <f>K21-(8*J21)</f>
        <v>13.000000000000004</v>
      </c>
    </row>
    <row r="22" spans="1:14" ht="15">
      <c r="A22" s="37">
        <v>44993.295138888891</v>
      </c>
      <c r="B22" s="50"/>
      <c r="C22" s="40"/>
      <c r="D22" s="38"/>
      <c r="E22" s="40"/>
      <c r="F22" s="39"/>
      <c r="G22" s="40"/>
      <c r="H22" s="40">
        <v>207</v>
      </c>
      <c r="I22" s="39">
        <f>H22/13.27321775</f>
        <v>15.595314105353239</v>
      </c>
      <c r="J22" s="41">
        <v>-2.2999999999999998</v>
      </c>
      <c r="K22" s="41">
        <v>-5.5</v>
      </c>
      <c r="L22" s="42">
        <v>0.02</v>
      </c>
      <c r="M22" s="42">
        <v>0.17</v>
      </c>
      <c r="N22" s="43">
        <f>K22-(8*J22)</f>
        <v>12.899999999999999</v>
      </c>
    </row>
    <row r="23" spans="1:14">
      <c r="A23" s="56">
        <v>44995</v>
      </c>
      <c r="B23" s="53">
        <v>0.5625</v>
      </c>
      <c r="C23" s="27"/>
      <c r="D23" s="52" t="s">
        <v>182</v>
      </c>
      <c r="E23" s="52"/>
      <c r="F23" s="52"/>
      <c r="G23" s="52"/>
      <c r="H23" s="54">
        <v>354.4</v>
      </c>
      <c r="I23" s="52" t="s">
        <v>184</v>
      </c>
      <c r="J23" s="28">
        <v>-2.4</v>
      </c>
      <c r="K23" s="28">
        <v>-1.8</v>
      </c>
      <c r="L23" s="29">
        <v>0.02</v>
      </c>
      <c r="M23" s="29">
        <v>0.09</v>
      </c>
      <c r="N23" s="55">
        <f>K23-8*J23</f>
        <v>17.399999999999999</v>
      </c>
    </row>
    <row r="24" spans="1:14">
      <c r="A24" s="56">
        <v>44995</v>
      </c>
      <c r="B24" s="52"/>
      <c r="C24" s="52"/>
      <c r="D24" s="52"/>
      <c r="E24" s="52" t="s">
        <v>182</v>
      </c>
      <c r="F24" s="52"/>
      <c r="G24" s="52"/>
      <c r="H24" s="52"/>
      <c r="I24" s="52" t="s">
        <v>230</v>
      </c>
      <c r="J24" s="28">
        <v>-3.1</v>
      </c>
      <c r="K24" s="28">
        <v>-9.9</v>
      </c>
      <c r="L24" s="30">
        <v>0.02</v>
      </c>
      <c r="M24" s="30">
        <v>0.03</v>
      </c>
      <c r="N24" s="55">
        <f>K24-8*J24</f>
        <v>14.9</v>
      </c>
    </row>
    <row r="25" spans="1:14">
      <c r="A25" s="56">
        <v>45002</v>
      </c>
      <c r="B25" s="53">
        <v>0.45833333333333331</v>
      </c>
      <c r="C25" s="27"/>
      <c r="D25" s="52" t="s">
        <v>182</v>
      </c>
      <c r="E25" s="52"/>
      <c r="F25" s="52"/>
      <c r="G25" s="52"/>
      <c r="H25" s="54">
        <v>243.3</v>
      </c>
      <c r="I25" s="52" t="s">
        <v>185</v>
      </c>
      <c r="J25" s="28">
        <v>-1.3</v>
      </c>
      <c r="K25" s="28">
        <v>-2.4</v>
      </c>
      <c r="L25" s="29">
        <v>0.02</v>
      </c>
      <c r="M25" s="29">
        <v>0.03</v>
      </c>
      <c r="N25" s="55">
        <f>K25-8*J25</f>
        <v>8</v>
      </c>
    </row>
    <row r="26" spans="1:14">
      <c r="A26" s="56">
        <v>45002</v>
      </c>
      <c r="B26" s="52"/>
      <c r="C26" s="52"/>
      <c r="D26" s="52"/>
      <c r="E26" s="52" t="s">
        <v>182</v>
      </c>
      <c r="F26" s="52"/>
      <c r="G26" s="52"/>
      <c r="H26" s="52"/>
      <c r="I26" s="52" t="s">
        <v>231</v>
      </c>
      <c r="J26" s="28">
        <v>-1.3</v>
      </c>
      <c r="K26" s="28">
        <v>-2.2999999999999998</v>
      </c>
      <c r="L26" s="30">
        <v>0.02</v>
      </c>
      <c r="M26" s="30">
        <v>0.11</v>
      </c>
      <c r="N26" s="55">
        <f>K26-8*J26</f>
        <v>8.1000000000000014</v>
      </c>
    </row>
    <row r="27" spans="1:14">
      <c r="A27" s="56">
        <v>45007</v>
      </c>
      <c r="B27" s="52"/>
      <c r="C27" s="52"/>
      <c r="D27" s="52"/>
      <c r="E27" s="52" t="s">
        <v>182</v>
      </c>
      <c r="F27" s="52"/>
      <c r="G27" s="52"/>
      <c r="H27" s="52"/>
      <c r="I27" s="52" t="s">
        <v>232</v>
      </c>
      <c r="J27" s="28">
        <v>-1.4</v>
      </c>
      <c r="K27" s="28">
        <v>1.4</v>
      </c>
      <c r="L27" s="30">
        <v>0.01</v>
      </c>
      <c r="M27" s="30">
        <v>0.09</v>
      </c>
      <c r="N27" s="55">
        <f>K27-8*J27</f>
        <v>12.6</v>
      </c>
    </row>
    <row r="28" spans="1:14" ht="15">
      <c r="A28" s="37">
        <v>45007.519444444442</v>
      </c>
      <c r="B28" s="50"/>
      <c r="C28" s="40"/>
      <c r="D28" s="38"/>
      <c r="E28" s="40"/>
      <c r="F28" s="39"/>
      <c r="G28" s="40"/>
      <c r="H28" s="40">
        <v>266</v>
      </c>
      <c r="I28" s="39">
        <f>H28/13.27321775</f>
        <v>20.040355323787256</v>
      </c>
      <c r="J28" s="41">
        <v>-1.4</v>
      </c>
      <c r="K28" s="41">
        <v>-3.1</v>
      </c>
      <c r="L28" s="42">
        <v>0.02</v>
      </c>
      <c r="M28" s="42">
        <v>0.02</v>
      </c>
      <c r="N28" s="43">
        <f>K28-(8*J28)</f>
        <v>8.1</v>
      </c>
    </row>
    <row r="29" spans="1:14">
      <c r="A29" s="51">
        <v>45011</v>
      </c>
      <c r="B29" s="52"/>
      <c r="C29" s="53">
        <v>0.70833333333333337</v>
      </c>
      <c r="D29" s="52"/>
      <c r="E29" s="52" t="s">
        <v>182</v>
      </c>
      <c r="F29" s="52"/>
      <c r="G29" s="40"/>
      <c r="H29" s="54">
        <v>2103.1999999999998</v>
      </c>
      <c r="I29" s="52" t="s">
        <v>288</v>
      </c>
      <c r="J29" s="28">
        <v>-2.4</v>
      </c>
      <c r="K29" s="28">
        <v>-6.8</v>
      </c>
      <c r="L29" s="30">
        <v>0.05</v>
      </c>
      <c r="M29" s="30">
        <v>0.21</v>
      </c>
      <c r="N29" s="55">
        <f>K29-8*J29</f>
        <v>12.399999999999999</v>
      </c>
    </row>
    <row r="30" spans="1:14">
      <c r="A30" s="27">
        <v>45014</v>
      </c>
      <c r="B30" s="52"/>
      <c r="C30" s="57">
        <v>0.51597222222222228</v>
      </c>
      <c r="D30" s="54"/>
      <c r="E30" s="54" t="s">
        <v>182</v>
      </c>
      <c r="F30" s="54"/>
      <c r="G30" s="52"/>
      <c r="H30" s="52" t="s">
        <v>233</v>
      </c>
      <c r="I30" s="52" t="s">
        <v>234</v>
      </c>
      <c r="J30" s="28">
        <v>-1.2</v>
      </c>
      <c r="K30" s="28">
        <v>2.5</v>
      </c>
      <c r="L30" s="30">
        <v>0.02</v>
      </c>
      <c r="M30" s="30">
        <v>0.05</v>
      </c>
      <c r="N30" s="55">
        <f>K30-8*J30</f>
        <v>12.1</v>
      </c>
    </row>
    <row r="31" spans="1:14" ht="15">
      <c r="A31" s="37">
        <v>45014.706250000003</v>
      </c>
      <c r="B31" s="50"/>
      <c r="C31" s="40"/>
      <c r="D31" s="38"/>
      <c r="E31" s="40"/>
      <c r="F31" s="39"/>
      <c r="G31" s="40"/>
      <c r="H31" s="40">
        <v>293</v>
      </c>
      <c r="I31" s="39">
        <f>H31/13.27321775</f>
        <v>22.07452672883333</v>
      </c>
      <c r="J31" s="41">
        <v>-1.1000000000000001</v>
      </c>
      <c r="K31" s="41">
        <v>2.2999999999999998</v>
      </c>
      <c r="L31" s="42">
        <v>0.01</v>
      </c>
      <c r="M31" s="42">
        <v>0.06</v>
      </c>
      <c r="N31" s="43">
        <f>K31-(8*J31)</f>
        <v>11.100000000000001</v>
      </c>
    </row>
    <row r="32" spans="1:14">
      <c r="A32" s="56">
        <v>45016</v>
      </c>
      <c r="B32" s="53">
        <v>0.64583333333333337</v>
      </c>
      <c r="C32" s="27"/>
      <c r="D32" s="52" t="s">
        <v>182</v>
      </c>
      <c r="E32" s="52"/>
      <c r="F32" s="52"/>
      <c r="G32" s="52"/>
      <c r="H32" s="54">
        <v>289.10000000000002</v>
      </c>
      <c r="I32" s="52" t="s">
        <v>186</v>
      </c>
      <c r="J32" s="28">
        <v>-1.2</v>
      </c>
      <c r="K32" s="28">
        <v>0.5</v>
      </c>
      <c r="L32" s="29">
        <v>0.03</v>
      </c>
      <c r="M32" s="29">
        <v>0.04</v>
      </c>
      <c r="N32" s="55">
        <f>K32-8*J32</f>
        <v>10.1</v>
      </c>
    </row>
    <row r="33" spans="1:14">
      <c r="A33" s="51">
        <v>45021</v>
      </c>
      <c r="B33" s="58">
        <v>0.47916666666666669</v>
      </c>
      <c r="C33" s="58">
        <v>0.5</v>
      </c>
      <c r="D33" s="52" t="s">
        <v>182</v>
      </c>
      <c r="E33" s="52"/>
      <c r="F33" s="52" t="s">
        <v>187</v>
      </c>
      <c r="G33" s="52"/>
      <c r="H33" s="52" t="s">
        <v>188</v>
      </c>
      <c r="I33" s="52" t="s">
        <v>189</v>
      </c>
      <c r="J33" s="28">
        <v>-3.7</v>
      </c>
      <c r="K33" s="28">
        <v>-15</v>
      </c>
      <c r="L33" s="29">
        <v>0.03</v>
      </c>
      <c r="M33" s="29">
        <v>0.1</v>
      </c>
      <c r="N33" s="55">
        <f>K33-8*J33</f>
        <v>14.600000000000001</v>
      </c>
    </row>
    <row r="34" spans="1:14" ht="15">
      <c r="A34" s="37">
        <v>45025.365972222222</v>
      </c>
      <c r="B34" s="50"/>
      <c r="C34" s="40"/>
      <c r="D34" s="38"/>
      <c r="E34" s="40"/>
      <c r="F34" s="39"/>
      <c r="G34" s="40"/>
      <c r="H34" s="40">
        <v>276</v>
      </c>
      <c r="I34" s="39">
        <f>H34/13.27321775</f>
        <v>20.793752140470986</v>
      </c>
      <c r="J34" s="41">
        <v>-2.4</v>
      </c>
      <c r="K34" s="41">
        <v>-6.7</v>
      </c>
      <c r="L34" s="42">
        <v>0.02</v>
      </c>
      <c r="M34" s="42">
        <v>0.13</v>
      </c>
      <c r="N34" s="43">
        <f>K34-(8*J34)</f>
        <v>12.5</v>
      </c>
    </row>
    <row r="35" spans="1:14">
      <c r="A35" s="51">
        <v>45028</v>
      </c>
      <c r="B35" s="58">
        <v>0.48958333333333331</v>
      </c>
      <c r="C35" s="58">
        <v>0.49652777777777779</v>
      </c>
      <c r="D35" s="52" t="s">
        <v>182</v>
      </c>
      <c r="E35" s="52"/>
      <c r="F35" s="52"/>
      <c r="G35" s="52"/>
      <c r="H35" s="52" t="s">
        <v>190</v>
      </c>
      <c r="I35" s="52" t="s">
        <v>191</v>
      </c>
      <c r="J35" s="28">
        <v>-0.7</v>
      </c>
      <c r="K35" s="28">
        <v>4.5999999999999996</v>
      </c>
      <c r="L35" s="29">
        <v>0.03</v>
      </c>
      <c r="M35" s="29">
        <v>0.37</v>
      </c>
      <c r="N35" s="55">
        <f>K35-8*J35</f>
        <v>10.199999999999999</v>
      </c>
    </row>
    <row r="36" spans="1:14">
      <c r="A36" s="51">
        <v>45028</v>
      </c>
      <c r="B36" s="52"/>
      <c r="C36" s="58">
        <v>0.55763888888888891</v>
      </c>
      <c r="D36" s="58">
        <v>0.59027777777777779</v>
      </c>
      <c r="E36" s="52" t="s">
        <v>182</v>
      </c>
      <c r="F36" s="52"/>
      <c r="G36" s="52" t="s">
        <v>235</v>
      </c>
      <c r="H36" s="52" t="s">
        <v>236</v>
      </c>
      <c r="I36" s="52" t="s">
        <v>237</v>
      </c>
      <c r="J36" s="28">
        <v>-2.6</v>
      </c>
      <c r="K36" s="28">
        <v>-6.1</v>
      </c>
      <c r="L36" s="30">
        <v>0.02</v>
      </c>
      <c r="M36" s="30">
        <v>0.1</v>
      </c>
      <c r="N36" s="55">
        <f>K36-8*J36</f>
        <v>14.700000000000001</v>
      </c>
    </row>
    <row r="37" spans="1:14">
      <c r="A37" s="51">
        <v>45032</v>
      </c>
      <c r="B37" s="52"/>
      <c r="C37" s="53">
        <v>0.70833333333333337</v>
      </c>
      <c r="D37" s="52"/>
      <c r="E37" s="52" t="s">
        <v>182</v>
      </c>
      <c r="F37" s="52"/>
      <c r="G37" s="40"/>
      <c r="H37" s="54">
        <v>1364.3</v>
      </c>
      <c r="I37" s="52" t="s">
        <v>289</v>
      </c>
      <c r="J37" s="28">
        <v>-1</v>
      </c>
      <c r="K37" s="28">
        <v>2.4</v>
      </c>
      <c r="L37" s="30">
        <v>0.02</v>
      </c>
      <c r="M37" s="30">
        <v>0.13</v>
      </c>
      <c r="N37" s="55">
        <f>K37-8*J37</f>
        <v>10.4</v>
      </c>
    </row>
    <row r="38" spans="1:14" ht="15">
      <c r="A38" s="37">
        <v>45032.688194444447</v>
      </c>
      <c r="B38" s="50"/>
      <c r="C38" s="40"/>
      <c r="D38" s="38"/>
      <c r="E38" s="40"/>
      <c r="F38" s="39"/>
      <c r="G38" s="40"/>
      <c r="H38" s="40">
        <v>74</v>
      </c>
      <c r="I38" s="39">
        <f>H38/13.27321775</f>
        <v>5.5751364434596127</v>
      </c>
      <c r="J38" s="41">
        <v>-1.5</v>
      </c>
      <c r="K38" s="41">
        <v>1.4</v>
      </c>
      <c r="L38" s="42">
        <v>0.02</v>
      </c>
      <c r="M38" s="42">
        <v>0.05</v>
      </c>
      <c r="N38" s="43">
        <f>K38-(8*J38)</f>
        <v>13.4</v>
      </c>
    </row>
    <row r="39" spans="1:14">
      <c r="A39" s="51">
        <v>45035</v>
      </c>
      <c r="B39" s="58">
        <v>0.4861111111111111</v>
      </c>
      <c r="C39" s="58">
        <v>0.49652777777777779</v>
      </c>
      <c r="D39" s="52" t="s">
        <v>182</v>
      </c>
      <c r="E39" s="52"/>
      <c r="F39" s="52" t="s">
        <v>192</v>
      </c>
      <c r="G39" s="52"/>
      <c r="H39" s="52" t="s">
        <v>193</v>
      </c>
      <c r="I39" s="52" t="s">
        <v>194</v>
      </c>
      <c r="J39" s="28">
        <v>-3.1</v>
      </c>
      <c r="K39" s="28">
        <v>-14.6</v>
      </c>
      <c r="L39" s="29">
        <v>0.02</v>
      </c>
      <c r="M39" s="29">
        <v>0.05</v>
      </c>
      <c r="N39" s="55">
        <f>K39-8*J39</f>
        <v>10.200000000000001</v>
      </c>
    </row>
    <row r="40" spans="1:14" ht="15">
      <c r="A40" s="37">
        <v>45035.305555555555</v>
      </c>
      <c r="B40" s="50"/>
      <c r="C40" s="40"/>
      <c r="D40" s="38"/>
      <c r="E40" s="40"/>
      <c r="F40" s="39"/>
      <c r="G40" s="40"/>
      <c r="H40" s="40">
        <v>684</v>
      </c>
      <c r="I40" s="39">
        <f>H40/13.27321775</f>
        <v>51.53234226116723</v>
      </c>
      <c r="J40" s="41">
        <v>-2.4</v>
      </c>
      <c r="K40" s="41">
        <v>-12.2</v>
      </c>
      <c r="L40" s="42">
        <v>0.02</v>
      </c>
      <c r="M40" s="42">
        <v>0.14000000000000001</v>
      </c>
      <c r="N40" s="43">
        <f>K40-(8*J40)</f>
        <v>7</v>
      </c>
    </row>
    <row r="41" spans="1:14">
      <c r="A41" s="51">
        <v>45036</v>
      </c>
      <c r="B41" s="52"/>
      <c r="C41" s="58">
        <v>0.40277777777777779</v>
      </c>
      <c r="D41" s="58">
        <v>0.59375</v>
      </c>
      <c r="E41" s="52" t="s">
        <v>182</v>
      </c>
      <c r="F41" s="52"/>
      <c r="G41" s="52" t="s">
        <v>238</v>
      </c>
      <c r="H41" s="52" t="s">
        <v>239</v>
      </c>
      <c r="I41" s="52" t="s">
        <v>240</v>
      </c>
      <c r="J41" s="28">
        <v>-0.8</v>
      </c>
      <c r="K41" s="28">
        <v>-1.7</v>
      </c>
      <c r="L41" s="30">
        <v>0.03</v>
      </c>
      <c r="M41" s="30">
        <v>0.05</v>
      </c>
      <c r="N41" s="55">
        <f>K41-8*J41</f>
        <v>4.7</v>
      </c>
    </row>
    <row r="42" spans="1:14" ht="15">
      <c r="A42" s="37">
        <v>45037.274305555555</v>
      </c>
      <c r="B42" s="50"/>
      <c r="C42" s="40"/>
      <c r="D42" s="38"/>
      <c r="E42" s="40"/>
      <c r="F42" s="39"/>
      <c r="G42" s="40"/>
      <c r="H42" s="40">
        <v>462</v>
      </c>
      <c r="I42" s="39">
        <f>H42/13.27321775</f>
        <v>34.806932930788392</v>
      </c>
      <c r="J42" s="44">
        <v>-1.6</v>
      </c>
      <c r="K42" s="44">
        <v>3.1</v>
      </c>
      <c r="L42" s="45">
        <v>0.02</v>
      </c>
      <c r="M42" s="46">
        <v>0.3</v>
      </c>
      <c r="N42" s="43">
        <f>K42-(8*J42)</f>
        <v>15.9</v>
      </c>
    </row>
    <row r="43" spans="1:14" ht="15">
      <c r="A43" s="37">
        <v>45042.49722222222</v>
      </c>
      <c r="B43" s="50"/>
      <c r="C43" s="40"/>
      <c r="D43" s="38"/>
      <c r="E43" s="40"/>
      <c r="F43" s="39"/>
      <c r="G43" s="40"/>
      <c r="H43" s="40">
        <v>304</v>
      </c>
      <c r="I43" s="39">
        <f>H43/13.27321775</f>
        <v>22.903263227185434</v>
      </c>
      <c r="J43" s="44">
        <v>-1.9</v>
      </c>
      <c r="K43" s="44">
        <v>0.6</v>
      </c>
      <c r="L43" s="46">
        <v>0.01</v>
      </c>
      <c r="M43" s="46">
        <v>0.11</v>
      </c>
      <c r="N43" s="43">
        <f>K43-(8*J43)</f>
        <v>15.799999999999999</v>
      </c>
    </row>
    <row r="44" spans="1:14" ht="15">
      <c r="A44" s="37">
        <v>45043.680555555555</v>
      </c>
      <c r="B44" s="50"/>
      <c r="C44" s="40"/>
      <c r="D44" s="38"/>
      <c r="E44" s="40"/>
      <c r="F44" s="39"/>
      <c r="G44" s="40"/>
      <c r="H44" s="40">
        <v>733</v>
      </c>
      <c r="I44" s="39">
        <f>H44/13.27321775</f>
        <v>55.223986662917511</v>
      </c>
      <c r="J44" s="44">
        <v>-1.8</v>
      </c>
      <c r="K44" s="44">
        <v>4.3</v>
      </c>
      <c r="L44" s="46">
        <v>0.02</v>
      </c>
      <c r="M44" s="46">
        <v>0.03</v>
      </c>
      <c r="N44" s="43">
        <f>K44-(8*J44)</f>
        <v>18.7</v>
      </c>
    </row>
    <row r="45" spans="1:14">
      <c r="A45" s="56">
        <v>45044</v>
      </c>
      <c r="B45" s="52"/>
      <c r="C45" s="58">
        <v>0.52777777777777779</v>
      </c>
      <c r="D45" s="58">
        <v>0.73263888888888884</v>
      </c>
      <c r="E45" s="52" t="s">
        <v>182</v>
      </c>
      <c r="F45" s="52"/>
      <c r="G45" s="52"/>
      <c r="H45" s="52" t="s">
        <v>241</v>
      </c>
      <c r="I45" s="52" t="s">
        <v>242</v>
      </c>
      <c r="J45" s="28">
        <v>-1.3</v>
      </c>
      <c r="K45" s="28">
        <v>1.5</v>
      </c>
      <c r="L45" s="30">
        <v>0.01</v>
      </c>
      <c r="M45" s="30">
        <v>0.08</v>
      </c>
      <c r="N45" s="55">
        <f>K45-8*J45</f>
        <v>11.9</v>
      </c>
    </row>
    <row r="46" spans="1:14" ht="15">
      <c r="A46" s="37">
        <v>45044.304166666669</v>
      </c>
      <c r="B46" s="50"/>
      <c r="C46" s="40"/>
      <c r="D46" s="38"/>
      <c r="E46" s="40"/>
      <c r="F46" s="39"/>
      <c r="G46" s="40"/>
      <c r="H46" s="40">
        <v>270</v>
      </c>
      <c r="I46" s="39">
        <f>H46/13.27321775</f>
        <v>20.341714050460748</v>
      </c>
      <c r="J46" s="44">
        <v>-1.9</v>
      </c>
      <c r="K46" s="44">
        <v>3.7</v>
      </c>
      <c r="L46" s="46">
        <v>0.02</v>
      </c>
      <c r="M46" s="46">
        <v>0.06</v>
      </c>
      <c r="N46" s="43">
        <f>K46-(8*J46)</f>
        <v>18.899999999999999</v>
      </c>
    </row>
    <row r="47" spans="1:14">
      <c r="A47" s="51">
        <v>45046</v>
      </c>
      <c r="B47" s="52"/>
      <c r="C47" s="53">
        <v>0.70833333333333337</v>
      </c>
      <c r="D47" s="52"/>
      <c r="E47" s="52" t="s">
        <v>182</v>
      </c>
      <c r="F47" s="52"/>
      <c r="G47" s="40"/>
      <c r="H47" s="54">
        <v>4195.3999999999996</v>
      </c>
      <c r="I47" s="52" t="s">
        <v>290</v>
      </c>
      <c r="J47" s="28">
        <v>-1.5</v>
      </c>
      <c r="K47" s="28">
        <v>1.4</v>
      </c>
      <c r="L47" s="30">
        <v>0.02</v>
      </c>
      <c r="M47" s="30">
        <v>0.05</v>
      </c>
      <c r="N47" s="55">
        <f>K47-8*J47</f>
        <v>13.4</v>
      </c>
    </row>
    <row r="48" spans="1:14">
      <c r="A48" s="51">
        <v>45049</v>
      </c>
      <c r="B48" s="52"/>
      <c r="C48" s="58">
        <v>0.51597222222222228</v>
      </c>
      <c r="D48" s="58">
        <v>0.625</v>
      </c>
      <c r="E48" s="52" t="s">
        <v>182</v>
      </c>
      <c r="F48" s="52"/>
      <c r="G48" s="52"/>
      <c r="H48" s="52" t="s">
        <v>243</v>
      </c>
      <c r="I48" s="52" t="s">
        <v>244</v>
      </c>
      <c r="J48" s="28">
        <v>-1.9</v>
      </c>
      <c r="K48" s="28">
        <v>0.3</v>
      </c>
      <c r="L48" s="30">
        <v>0.02</v>
      </c>
      <c r="M48" s="30">
        <v>0.06</v>
      </c>
      <c r="N48" s="55">
        <f>K48-8*J48</f>
        <v>15.5</v>
      </c>
    </row>
    <row r="49" spans="1:14">
      <c r="A49" s="51">
        <v>45051</v>
      </c>
      <c r="B49" s="58">
        <v>0.41666666666666669</v>
      </c>
      <c r="C49" s="58">
        <v>0.52083333333333337</v>
      </c>
      <c r="D49" s="52" t="s">
        <v>182</v>
      </c>
      <c r="E49" s="52"/>
      <c r="F49" s="52"/>
      <c r="G49" s="52"/>
      <c r="H49" s="52" t="s">
        <v>195</v>
      </c>
      <c r="I49" s="52" t="s">
        <v>196</v>
      </c>
      <c r="J49" s="28">
        <v>-1.4</v>
      </c>
      <c r="K49" s="28">
        <v>3.5</v>
      </c>
      <c r="L49" s="29">
        <v>0.01</v>
      </c>
      <c r="M49" s="29">
        <v>0.12</v>
      </c>
      <c r="N49" s="55">
        <f>K49-8*J49</f>
        <v>14.7</v>
      </c>
    </row>
    <row r="50" spans="1:14" ht="15">
      <c r="A50" s="37">
        <v>45052.620833333334</v>
      </c>
      <c r="B50" s="50"/>
      <c r="C50" s="40"/>
      <c r="D50" s="38"/>
      <c r="E50" s="40"/>
      <c r="F50" s="39"/>
      <c r="G50" s="40"/>
      <c r="H50" s="40">
        <v>77</v>
      </c>
      <c r="I50" s="39">
        <f>H50/13.27321775</f>
        <v>5.8011554884647314</v>
      </c>
      <c r="J50" s="44">
        <v>-1.9</v>
      </c>
      <c r="K50" s="44">
        <v>-0.2</v>
      </c>
      <c r="L50" s="46">
        <v>0.03</v>
      </c>
      <c r="M50" s="46">
        <v>0.04</v>
      </c>
      <c r="N50" s="43">
        <f>K50-(8*J50)</f>
        <v>15</v>
      </c>
    </row>
    <row r="51" spans="1:14">
      <c r="A51" s="51">
        <v>45056</v>
      </c>
      <c r="B51" s="52"/>
      <c r="C51" s="52"/>
      <c r="D51" s="52"/>
      <c r="E51" s="52"/>
      <c r="F51" s="52"/>
      <c r="G51" s="52"/>
      <c r="H51" s="52" t="s">
        <v>245</v>
      </c>
      <c r="I51" s="52" t="s">
        <v>246</v>
      </c>
      <c r="J51" s="28">
        <v>-1.8</v>
      </c>
      <c r="K51" s="28">
        <v>-0.1</v>
      </c>
      <c r="L51" s="30">
        <v>0.01</v>
      </c>
      <c r="M51" s="30">
        <v>0.06</v>
      </c>
      <c r="N51" s="55">
        <f>K51-8*J51</f>
        <v>14.3</v>
      </c>
    </row>
    <row r="52" spans="1:14" ht="15">
      <c r="A52" s="37">
        <v>45059.635416666664</v>
      </c>
      <c r="B52" s="50"/>
      <c r="C52" s="40"/>
      <c r="D52" s="38"/>
      <c r="E52" s="40"/>
      <c r="F52" s="39"/>
      <c r="G52" s="40"/>
      <c r="H52" s="40">
        <v>241</v>
      </c>
      <c r="I52" s="39">
        <f>H52/13.27321775</f>
        <v>18.156863282077925</v>
      </c>
      <c r="J52" s="44">
        <v>-1.7</v>
      </c>
      <c r="K52" s="44">
        <v>2.2000000000000002</v>
      </c>
      <c r="L52" s="46">
        <v>0.01</v>
      </c>
      <c r="M52" s="46">
        <v>0.04</v>
      </c>
      <c r="N52" s="43">
        <f>K52-(8*J52)</f>
        <v>15.8</v>
      </c>
    </row>
    <row r="53" spans="1:14">
      <c r="A53" s="51">
        <v>45065</v>
      </c>
      <c r="B53" s="58">
        <v>0.625</v>
      </c>
      <c r="C53" s="58">
        <v>0.63194444444444442</v>
      </c>
      <c r="D53" s="52" t="s">
        <v>182</v>
      </c>
      <c r="E53" s="52"/>
      <c r="F53" s="52"/>
      <c r="G53" s="52"/>
      <c r="H53" s="52" t="s">
        <v>197</v>
      </c>
      <c r="I53" s="52" t="s">
        <v>198</v>
      </c>
      <c r="J53" s="28">
        <v>-1.3</v>
      </c>
      <c r="K53" s="28">
        <v>4.7</v>
      </c>
      <c r="L53" s="29">
        <v>0.02</v>
      </c>
      <c r="M53" s="29">
        <v>0.08</v>
      </c>
      <c r="N53" s="55">
        <f>K53-8*J53</f>
        <v>15.100000000000001</v>
      </c>
    </row>
    <row r="54" spans="1:14" ht="15">
      <c r="A54" s="37">
        <v>45065.603472222225</v>
      </c>
      <c r="B54" s="50"/>
      <c r="C54" s="40"/>
      <c r="D54" s="38"/>
      <c r="E54" s="40"/>
      <c r="F54" s="39"/>
      <c r="G54" s="40"/>
      <c r="H54" s="40">
        <v>140</v>
      </c>
      <c r="I54" s="39">
        <f>H54/13.27321775</f>
        <v>10.547555433572239</v>
      </c>
      <c r="J54" s="44">
        <v>-3.4</v>
      </c>
      <c r="K54" s="44">
        <v>-13.2</v>
      </c>
      <c r="L54" s="46">
        <v>0.03</v>
      </c>
      <c r="M54" s="46">
        <v>0.11</v>
      </c>
      <c r="N54" s="43">
        <f>K54-(8*J54)</f>
        <v>14</v>
      </c>
    </row>
    <row r="55" spans="1:14">
      <c r="A55" s="51">
        <v>45067</v>
      </c>
      <c r="B55" s="52"/>
      <c r="C55" s="53">
        <v>0.70833333333333337</v>
      </c>
      <c r="D55" s="52"/>
      <c r="E55" s="52" t="s">
        <v>182</v>
      </c>
      <c r="F55" s="52"/>
      <c r="G55" s="40"/>
      <c r="H55" s="54">
        <v>1047.7</v>
      </c>
      <c r="I55" s="52" t="s">
        <v>291</v>
      </c>
      <c r="J55" s="28">
        <v>-2.1</v>
      </c>
      <c r="K55" s="28">
        <v>-1</v>
      </c>
      <c r="L55" s="30">
        <v>0.02</v>
      </c>
      <c r="M55" s="30">
        <v>0.03</v>
      </c>
      <c r="N55" s="55">
        <f t="shared" ref="N55:N60" si="0">K55-8*J55</f>
        <v>15.8</v>
      </c>
    </row>
    <row r="56" spans="1:14">
      <c r="A56" s="51">
        <v>45072</v>
      </c>
      <c r="B56" s="58">
        <v>0.4861111111111111</v>
      </c>
      <c r="C56" s="58">
        <v>0.49652777777777779</v>
      </c>
      <c r="D56" s="52" t="s">
        <v>182</v>
      </c>
      <c r="E56" s="52"/>
      <c r="F56" s="52"/>
      <c r="G56" s="52"/>
      <c r="H56" s="52" t="s">
        <v>199</v>
      </c>
      <c r="I56" s="52" t="s">
        <v>200</v>
      </c>
      <c r="J56" s="28">
        <v>-0.4</v>
      </c>
      <c r="K56" s="28">
        <v>6.1</v>
      </c>
      <c r="L56" s="29">
        <v>0.02</v>
      </c>
      <c r="M56" s="29">
        <v>0.08</v>
      </c>
      <c r="N56" s="55">
        <f t="shared" si="0"/>
        <v>9.3000000000000007</v>
      </c>
    </row>
    <row r="57" spans="1:14">
      <c r="A57" s="51">
        <v>45072</v>
      </c>
      <c r="B57" s="59">
        <v>45072</v>
      </c>
      <c r="C57" s="58">
        <v>0.41666666666666669</v>
      </c>
      <c r="D57" s="58">
        <v>0.49652777777777779</v>
      </c>
      <c r="E57" s="52" t="s">
        <v>182</v>
      </c>
      <c r="F57" s="52"/>
      <c r="G57" s="52"/>
      <c r="H57" s="52" t="s">
        <v>245</v>
      </c>
      <c r="I57" s="52" t="s">
        <v>247</v>
      </c>
      <c r="J57" s="28">
        <v>-1.7</v>
      </c>
      <c r="K57" s="28">
        <v>0.1</v>
      </c>
      <c r="L57" s="30">
        <v>0.02</v>
      </c>
      <c r="M57" s="30">
        <v>0.06</v>
      </c>
      <c r="N57" s="55">
        <f t="shared" si="0"/>
        <v>13.7</v>
      </c>
    </row>
    <row r="58" spans="1:14">
      <c r="A58" s="51">
        <v>45079</v>
      </c>
      <c r="B58" s="52"/>
      <c r="C58" s="52"/>
      <c r="D58" s="52"/>
      <c r="E58" s="52"/>
      <c r="F58" s="52"/>
      <c r="G58" s="52"/>
      <c r="H58" s="52"/>
      <c r="I58" s="52" t="s">
        <v>248</v>
      </c>
      <c r="J58" s="28">
        <v>-1.6</v>
      </c>
      <c r="K58" s="28">
        <v>0.3</v>
      </c>
      <c r="L58" s="30">
        <v>0.01</v>
      </c>
      <c r="M58" s="30">
        <v>0.03</v>
      </c>
      <c r="N58" s="55">
        <f t="shared" si="0"/>
        <v>13.100000000000001</v>
      </c>
    </row>
    <row r="59" spans="1:14">
      <c r="A59" s="56">
        <v>45086</v>
      </c>
      <c r="B59" s="53">
        <v>0.47916666666666669</v>
      </c>
      <c r="C59" s="52"/>
      <c r="D59" s="52" t="s">
        <v>182</v>
      </c>
      <c r="E59" s="52"/>
      <c r="F59" s="52"/>
      <c r="G59" s="52"/>
      <c r="H59" s="54">
        <v>252.1</v>
      </c>
      <c r="I59" s="52" t="s">
        <v>201</v>
      </c>
      <c r="J59" s="28">
        <v>-1</v>
      </c>
      <c r="K59" s="28">
        <v>2.2999999999999998</v>
      </c>
      <c r="L59" s="29">
        <v>0.03</v>
      </c>
      <c r="M59" s="29">
        <v>0.08</v>
      </c>
      <c r="N59" s="55">
        <f t="shared" si="0"/>
        <v>10.3</v>
      </c>
    </row>
    <row r="60" spans="1:14">
      <c r="A60" s="51">
        <v>45086</v>
      </c>
      <c r="B60" s="52"/>
      <c r="C60" s="52"/>
      <c r="D60" s="52"/>
      <c r="E60" s="52"/>
      <c r="F60" s="52"/>
      <c r="G60" s="52"/>
      <c r="H60" s="52"/>
      <c r="I60" s="52" t="s">
        <v>249</v>
      </c>
      <c r="J60" s="28">
        <v>-1.9</v>
      </c>
      <c r="K60" s="28">
        <v>-0.7</v>
      </c>
      <c r="L60" s="30">
        <v>0.01</v>
      </c>
      <c r="M60" s="30">
        <v>0.05</v>
      </c>
      <c r="N60" s="55">
        <f t="shared" si="0"/>
        <v>14.5</v>
      </c>
    </row>
    <row r="61" spans="1:14" ht="15">
      <c r="A61" s="37">
        <v>45090.701388888891</v>
      </c>
      <c r="B61" s="50"/>
      <c r="C61" s="40"/>
      <c r="D61" s="38"/>
      <c r="E61" s="40"/>
      <c r="F61" s="39"/>
      <c r="G61" s="40"/>
      <c r="H61" s="40">
        <v>226</v>
      </c>
      <c r="I61" s="39">
        <f>H61/13.27321775</f>
        <v>17.02676805705233</v>
      </c>
      <c r="J61" s="44">
        <v>-1.3</v>
      </c>
      <c r="K61" s="44">
        <v>0.6</v>
      </c>
      <c r="L61" s="46">
        <v>0.04</v>
      </c>
      <c r="M61" s="46">
        <v>0.14000000000000001</v>
      </c>
      <c r="N61" s="43">
        <f>K61-(8*J61)</f>
        <v>11</v>
      </c>
    </row>
    <row r="62" spans="1:14">
      <c r="A62" s="56">
        <v>45093</v>
      </c>
      <c r="B62" s="53">
        <v>0.47916666666666669</v>
      </c>
      <c r="C62" s="52"/>
      <c r="D62" s="52" t="s">
        <v>182</v>
      </c>
      <c r="E62" s="52"/>
      <c r="F62" s="52"/>
      <c r="G62" s="52"/>
      <c r="H62" s="54">
        <v>206.9</v>
      </c>
      <c r="I62" s="52" t="s">
        <v>202</v>
      </c>
      <c r="J62" s="28">
        <v>-0.5</v>
      </c>
      <c r="K62" s="28">
        <v>2.8</v>
      </c>
      <c r="L62" s="29">
        <v>0.03</v>
      </c>
      <c r="M62" s="29">
        <v>0.05</v>
      </c>
      <c r="N62" s="55">
        <f>K62-8*J62</f>
        <v>6.8</v>
      </c>
    </row>
    <row r="63" spans="1:14">
      <c r="A63" s="51">
        <v>45093</v>
      </c>
      <c r="B63" s="52"/>
      <c r="C63" s="52"/>
      <c r="D63" s="52"/>
      <c r="E63" s="52"/>
      <c r="F63" s="52"/>
      <c r="G63" s="52"/>
      <c r="H63" s="52"/>
      <c r="I63" s="52" t="s">
        <v>250</v>
      </c>
      <c r="J63" s="28">
        <v>-1.6</v>
      </c>
      <c r="K63" s="28">
        <v>-1.2</v>
      </c>
      <c r="L63" s="30">
        <v>0.03</v>
      </c>
      <c r="M63" s="30">
        <v>0.18</v>
      </c>
      <c r="N63" s="55">
        <f>K63-8*J63</f>
        <v>11.600000000000001</v>
      </c>
    </row>
    <row r="64" spans="1:14">
      <c r="A64" s="37">
        <v>45093.666666666664</v>
      </c>
      <c r="B64" s="50"/>
      <c r="C64" s="40"/>
      <c r="D64" s="38"/>
      <c r="E64" s="40"/>
      <c r="F64" s="39"/>
      <c r="G64" s="40"/>
      <c r="H64" s="40">
        <v>0</v>
      </c>
      <c r="I64" s="39">
        <f>H64/13.27321775</f>
        <v>0</v>
      </c>
      <c r="J64" s="38"/>
      <c r="K64" s="38"/>
      <c r="L64" s="39"/>
      <c r="M64" s="39"/>
      <c r="N64" s="38"/>
    </row>
    <row r="65" spans="1:14">
      <c r="A65" s="51">
        <v>45095</v>
      </c>
      <c r="B65" s="52"/>
      <c r="C65" s="60">
        <v>0.70833333333333337</v>
      </c>
      <c r="D65" s="52"/>
      <c r="E65" s="52" t="s">
        <v>182</v>
      </c>
      <c r="F65" s="52"/>
      <c r="G65" s="40"/>
      <c r="H65" s="54">
        <v>1143.2</v>
      </c>
      <c r="I65" s="52" t="s">
        <v>292</v>
      </c>
      <c r="J65" s="28">
        <v>-1.9</v>
      </c>
      <c r="K65" s="28">
        <v>-1.5</v>
      </c>
      <c r="L65" s="30">
        <v>0.01</v>
      </c>
      <c r="M65" s="30">
        <v>7.0000000000000007E-2</v>
      </c>
      <c r="N65" s="55">
        <f>K65-8*J65</f>
        <v>13.7</v>
      </c>
    </row>
    <row r="66" spans="1:14">
      <c r="A66" s="51">
        <v>45100</v>
      </c>
      <c r="B66" s="58">
        <v>0.52083333333333337</v>
      </c>
      <c r="C66" s="58">
        <v>0.52777777777777779</v>
      </c>
      <c r="D66" s="52" t="s">
        <v>182</v>
      </c>
      <c r="E66" s="52"/>
      <c r="F66" s="52"/>
      <c r="G66" s="52"/>
      <c r="H66" s="52" t="s">
        <v>203</v>
      </c>
      <c r="I66" s="52" t="s">
        <v>204</v>
      </c>
      <c r="J66" s="28">
        <v>-2.2000000000000002</v>
      </c>
      <c r="K66" s="28">
        <v>-4</v>
      </c>
      <c r="L66" s="29">
        <v>0.02</v>
      </c>
      <c r="M66" s="29">
        <v>0.1</v>
      </c>
      <c r="N66" s="55">
        <f>K66-8*J66</f>
        <v>13.600000000000001</v>
      </c>
    </row>
    <row r="67" spans="1:14">
      <c r="A67" s="51">
        <v>45100</v>
      </c>
      <c r="B67" s="51">
        <v>45100</v>
      </c>
      <c r="C67" s="58">
        <v>0.5</v>
      </c>
      <c r="D67" s="58">
        <v>0.53402777777777777</v>
      </c>
      <c r="E67" s="52" t="s">
        <v>182</v>
      </c>
      <c r="F67" s="52"/>
      <c r="G67" s="52"/>
      <c r="H67" s="52" t="s">
        <v>251</v>
      </c>
      <c r="I67" s="52" t="s">
        <v>252</v>
      </c>
      <c r="J67" s="28">
        <v>-2</v>
      </c>
      <c r="K67" s="28">
        <v>-2.1</v>
      </c>
      <c r="L67" s="30">
        <v>0.02</v>
      </c>
      <c r="M67" s="30">
        <v>0.03</v>
      </c>
      <c r="N67" s="55">
        <f>K67-8*J67</f>
        <v>13.9</v>
      </c>
    </row>
    <row r="68" spans="1:14" ht="15">
      <c r="A68" s="37">
        <v>45106.37777777778</v>
      </c>
      <c r="B68" s="50"/>
      <c r="C68" s="40"/>
      <c r="D68" s="38"/>
      <c r="E68" s="40"/>
      <c r="F68" s="39"/>
      <c r="G68" s="40"/>
      <c r="H68" s="40">
        <v>110</v>
      </c>
      <c r="I68" s="39">
        <f>H68/13.27321775</f>
        <v>8.2873649835210461</v>
      </c>
      <c r="J68" s="44">
        <v>-1.3</v>
      </c>
      <c r="K68" s="44">
        <v>-0.1</v>
      </c>
      <c r="L68" s="46">
        <v>0.1</v>
      </c>
      <c r="M68" s="46">
        <v>0.34</v>
      </c>
      <c r="N68" s="43">
        <f>K68-(8*J68)</f>
        <v>10.3</v>
      </c>
    </row>
    <row r="69" spans="1:14">
      <c r="A69" s="51">
        <v>45107</v>
      </c>
      <c r="B69" s="58">
        <v>0.58680555555555558</v>
      </c>
      <c r="C69" s="58">
        <v>0.59305555555555556</v>
      </c>
      <c r="D69" s="52" t="s">
        <v>182</v>
      </c>
      <c r="E69" s="52"/>
      <c r="F69" s="52"/>
      <c r="G69" s="52"/>
      <c r="H69" s="52" t="s">
        <v>205</v>
      </c>
      <c r="I69" s="52" t="s">
        <v>206</v>
      </c>
      <c r="J69" s="28">
        <v>-1.1000000000000001</v>
      </c>
      <c r="K69" s="28">
        <v>0.8</v>
      </c>
      <c r="L69" s="29">
        <v>0.01</v>
      </c>
      <c r="M69" s="29">
        <v>0.04</v>
      </c>
      <c r="N69" s="55">
        <f>K69-8*J69</f>
        <v>9.6000000000000014</v>
      </c>
    </row>
    <row r="70" spans="1:14">
      <c r="A70" s="51">
        <v>45107</v>
      </c>
      <c r="B70" s="51">
        <v>45107</v>
      </c>
      <c r="C70" s="58">
        <v>0.5</v>
      </c>
      <c r="D70" s="58">
        <v>0.59375</v>
      </c>
      <c r="E70" s="52" t="s">
        <v>182</v>
      </c>
      <c r="F70" s="52"/>
      <c r="G70" s="52"/>
      <c r="H70" s="52" t="s">
        <v>253</v>
      </c>
      <c r="I70" s="52" t="s">
        <v>254</v>
      </c>
      <c r="J70" s="28">
        <v>-2</v>
      </c>
      <c r="K70" s="28">
        <v>-2.4</v>
      </c>
      <c r="L70" s="30">
        <v>0.02</v>
      </c>
      <c r="M70" s="30">
        <v>0.03</v>
      </c>
      <c r="N70" s="55">
        <f>K70-8*J70</f>
        <v>13.6</v>
      </c>
    </row>
    <row r="71" spans="1:14">
      <c r="A71" s="51">
        <v>45109</v>
      </c>
      <c r="B71" s="51">
        <v>45265</v>
      </c>
      <c r="C71" s="58">
        <v>0.70833333333333337</v>
      </c>
      <c r="D71" s="58">
        <v>0.5</v>
      </c>
      <c r="E71" s="52" t="s">
        <v>182</v>
      </c>
      <c r="F71" s="52"/>
      <c r="G71" s="40"/>
      <c r="H71" s="52">
        <v>711.5</v>
      </c>
      <c r="I71" s="52" t="s">
        <v>293</v>
      </c>
      <c r="J71" s="28">
        <v>-1.5</v>
      </c>
      <c r="K71" s="28">
        <v>-0.7</v>
      </c>
      <c r="L71" s="30">
        <v>0.02</v>
      </c>
      <c r="M71" s="30">
        <v>0.03</v>
      </c>
      <c r="N71" s="55">
        <f>K71-8*J71</f>
        <v>11.3</v>
      </c>
    </row>
    <row r="72" spans="1:14">
      <c r="A72" s="37">
        <v>45111.402777777781</v>
      </c>
      <c r="B72" s="50"/>
      <c r="C72" s="40"/>
      <c r="D72" s="38"/>
      <c r="E72" s="40"/>
      <c r="F72" s="39"/>
      <c r="G72" s="40"/>
      <c r="H72" s="40">
        <v>114</v>
      </c>
      <c r="I72" s="39">
        <f>H72/13.27321775</f>
        <v>8.5887237101945377</v>
      </c>
      <c r="J72" s="38"/>
      <c r="K72" s="40"/>
      <c r="L72" s="39"/>
      <c r="M72" s="38"/>
      <c r="N72" s="39"/>
    </row>
    <row r="73" spans="1:14">
      <c r="A73" s="51">
        <v>45114</v>
      </c>
      <c r="B73" s="59">
        <v>45117</v>
      </c>
      <c r="C73" s="58">
        <v>0.5</v>
      </c>
      <c r="D73" s="58">
        <v>0.375</v>
      </c>
      <c r="E73" s="52" t="s">
        <v>182</v>
      </c>
      <c r="F73" s="52"/>
      <c r="G73" s="52"/>
      <c r="H73" s="52" t="s">
        <v>255</v>
      </c>
      <c r="I73" s="52" t="s">
        <v>256</v>
      </c>
      <c r="J73" s="28">
        <v>-1.6</v>
      </c>
      <c r="K73" s="28">
        <v>-1.1000000000000001</v>
      </c>
      <c r="L73" s="30">
        <v>0.02</v>
      </c>
      <c r="M73" s="30">
        <v>7.0000000000000007E-2</v>
      </c>
      <c r="N73" s="55">
        <f t="shared" ref="N73:N101" si="1">K73-8*J73</f>
        <v>11.700000000000001</v>
      </c>
    </row>
    <row r="74" spans="1:14">
      <c r="A74" s="51">
        <v>45117</v>
      </c>
      <c r="B74" s="58">
        <v>0.5</v>
      </c>
      <c r="C74" s="58">
        <v>0.51041666666666663</v>
      </c>
      <c r="D74" s="52" t="s">
        <v>182</v>
      </c>
      <c r="E74" s="52"/>
      <c r="F74" s="52"/>
      <c r="G74" s="52"/>
      <c r="H74" s="52" t="s">
        <v>207</v>
      </c>
      <c r="I74" s="52" t="s">
        <v>208</v>
      </c>
      <c r="J74" s="28">
        <v>-0.8</v>
      </c>
      <c r="K74" s="28">
        <v>3.3</v>
      </c>
      <c r="L74" s="29">
        <v>0.01</v>
      </c>
      <c r="M74" s="29">
        <v>0.08</v>
      </c>
      <c r="N74" s="55">
        <f t="shared" si="1"/>
        <v>9.6999999999999993</v>
      </c>
    </row>
    <row r="75" spans="1:14">
      <c r="A75" s="51">
        <v>45121</v>
      </c>
      <c r="B75" s="51">
        <v>45124</v>
      </c>
      <c r="C75" s="58">
        <v>0.5</v>
      </c>
      <c r="D75" s="58">
        <v>0.61111111111111116</v>
      </c>
      <c r="E75" s="52" t="s">
        <v>182</v>
      </c>
      <c r="F75" s="52"/>
      <c r="G75" s="52"/>
      <c r="H75" s="52" t="s">
        <v>257</v>
      </c>
      <c r="I75" s="52" t="s">
        <v>258</v>
      </c>
      <c r="J75" s="28">
        <v>-1.7</v>
      </c>
      <c r="K75" s="28">
        <v>0.8</v>
      </c>
      <c r="L75" s="30">
        <v>0.02</v>
      </c>
      <c r="M75" s="30">
        <v>0.05</v>
      </c>
      <c r="N75" s="55">
        <f t="shared" si="1"/>
        <v>14.4</v>
      </c>
    </row>
    <row r="76" spans="1:14">
      <c r="A76" s="51">
        <v>45124</v>
      </c>
      <c r="B76" s="58">
        <v>0.60069444444444442</v>
      </c>
      <c r="C76" s="58">
        <v>0.60416666666666663</v>
      </c>
      <c r="D76" s="52" t="s">
        <v>182</v>
      </c>
      <c r="E76" s="52"/>
      <c r="F76" s="52"/>
      <c r="G76" s="52"/>
      <c r="H76" s="52" t="s">
        <v>209</v>
      </c>
      <c r="I76" s="52" t="s">
        <v>210</v>
      </c>
      <c r="J76" s="28">
        <v>-0.5</v>
      </c>
      <c r="K76" s="28">
        <v>3.9</v>
      </c>
      <c r="L76" s="29">
        <v>0.01</v>
      </c>
      <c r="M76" s="29">
        <v>0.05</v>
      </c>
      <c r="N76" s="55">
        <f t="shared" si="1"/>
        <v>7.9</v>
      </c>
    </row>
    <row r="77" spans="1:14">
      <c r="A77" s="51">
        <v>45128</v>
      </c>
      <c r="B77" s="51">
        <v>45131</v>
      </c>
      <c r="C77" s="58">
        <v>0.5</v>
      </c>
      <c r="D77" s="60">
        <v>0.34375</v>
      </c>
      <c r="E77" s="52" t="s">
        <v>182</v>
      </c>
      <c r="F77" s="52"/>
      <c r="G77" s="52"/>
      <c r="H77" s="52" t="s">
        <v>259</v>
      </c>
      <c r="I77" s="52" t="s">
        <v>260</v>
      </c>
      <c r="J77" s="28">
        <v>-1.3</v>
      </c>
      <c r="K77" s="28">
        <v>-1.1000000000000001</v>
      </c>
      <c r="L77" s="30">
        <v>0.01</v>
      </c>
      <c r="M77" s="30">
        <v>0.03</v>
      </c>
      <c r="N77" s="55">
        <f t="shared" si="1"/>
        <v>9.3000000000000007</v>
      </c>
    </row>
    <row r="78" spans="1:14">
      <c r="A78" s="51">
        <v>45131</v>
      </c>
      <c r="B78" s="58">
        <v>0.35416666666666669</v>
      </c>
      <c r="C78" s="58">
        <v>0.3576388888888889</v>
      </c>
      <c r="D78" s="52" t="s">
        <v>182</v>
      </c>
      <c r="E78" s="52"/>
      <c r="F78" s="52" t="s">
        <v>211</v>
      </c>
      <c r="G78" s="52"/>
      <c r="H78" s="52" t="s">
        <v>212</v>
      </c>
      <c r="I78" s="52" t="s">
        <v>213</v>
      </c>
      <c r="J78" s="28">
        <v>-1.1000000000000001</v>
      </c>
      <c r="K78" s="28">
        <v>-2.8</v>
      </c>
      <c r="L78" s="30">
        <v>0.03</v>
      </c>
      <c r="M78" s="30">
        <v>0.26</v>
      </c>
      <c r="N78" s="55">
        <f t="shared" si="1"/>
        <v>6.0000000000000009</v>
      </c>
    </row>
    <row r="79" spans="1:14">
      <c r="A79" s="51">
        <v>45135</v>
      </c>
      <c r="B79" s="51">
        <v>45138</v>
      </c>
      <c r="C79" s="58">
        <v>0.5</v>
      </c>
      <c r="D79" s="58">
        <v>0.66319444444444442</v>
      </c>
      <c r="E79" s="52" t="s">
        <v>182</v>
      </c>
      <c r="F79" s="52"/>
      <c r="G79" s="52"/>
      <c r="H79" s="52" t="s">
        <v>261</v>
      </c>
      <c r="I79" s="52" t="s">
        <v>262</v>
      </c>
      <c r="J79" s="28">
        <v>-1.8</v>
      </c>
      <c r="K79" s="28">
        <v>-3.9</v>
      </c>
      <c r="L79" s="29">
        <v>0.02</v>
      </c>
      <c r="M79" s="29">
        <v>0.32</v>
      </c>
      <c r="N79" s="55">
        <f t="shared" si="1"/>
        <v>10.5</v>
      </c>
    </row>
    <row r="80" spans="1:14">
      <c r="A80" s="51">
        <v>45142</v>
      </c>
      <c r="B80" s="51">
        <v>45142</v>
      </c>
      <c r="C80" s="58">
        <v>0.5</v>
      </c>
      <c r="D80" s="58">
        <v>0.58333333333333337</v>
      </c>
      <c r="E80" s="52" t="s">
        <v>182</v>
      </c>
      <c r="F80" s="52"/>
      <c r="G80" s="52"/>
      <c r="H80" s="52" t="s">
        <v>263</v>
      </c>
      <c r="I80" s="52" t="s">
        <v>264</v>
      </c>
      <c r="J80" s="28">
        <v>-1.6</v>
      </c>
      <c r="K80" s="28">
        <v>-2.1</v>
      </c>
      <c r="L80" s="29">
        <v>0.03</v>
      </c>
      <c r="M80" s="29">
        <v>0.13</v>
      </c>
      <c r="N80" s="55">
        <f t="shared" si="1"/>
        <v>10.700000000000001</v>
      </c>
    </row>
    <row r="81" spans="1:14">
      <c r="A81" s="51">
        <v>45149</v>
      </c>
      <c r="B81" s="51">
        <v>45149</v>
      </c>
      <c r="C81" s="58">
        <v>0.5</v>
      </c>
      <c r="D81" s="58">
        <v>0.66666666666666663</v>
      </c>
      <c r="E81" s="52" t="s">
        <v>182</v>
      </c>
      <c r="F81" s="52"/>
      <c r="G81" s="52"/>
      <c r="H81" s="52" t="s">
        <v>265</v>
      </c>
      <c r="I81" s="52" t="s">
        <v>266</v>
      </c>
      <c r="J81" s="28">
        <v>-1.4</v>
      </c>
      <c r="K81" s="28">
        <v>-1.3</v>
      </c>
      <c r="L81" s="29">
        <v>0.01</v>
      </c>
      <c r="M81" s="29">
        <v>0.08</v>
      </c>
      <c r="N81" s="55">
        <f t="shared" si="1"/>
        <v>9.8999999999999986</v>
      </c>
    </row>
    <row r="82" spans="1:14">
      <c r="A82" s="51">
        <v>45151</v>
      </c>
      <c r="B82" s="51">
        <v>45265</v>
      </c>
      <c r="C82" s="58">
        <v>0.70833333333333337</v>
      </c>
      <c r="D82" s="58">
        <v>0.5</v>
      </c>
      <c r="E82" s="52" t="s">
        <v>182</v>
      </c>
      <c r="F82" s="52"/>
      <c r="G82" s="40"/>
      <c r="H82" s="52">
        <v>1087.7</v>
      </c>
      <c r="I82" s="52" t="s">
        <v>294</v>
      </c>
      <c r="J82" s="28">
        <v>-1</v>
      </c>
      <c r="K82" s="28">
        <v>0.1</v>
      </c>
      <c r="L82" s="30">
        <v>0.02</v>
      </c>
      <c r="M82" s="30">
        <v>0.05</v>
      </c>
      <c r="N82" s="55">
        <f t="shared" si="1"/>
        <v>8.1</v>
      </c>
    </row>
    <row r="83" spans="1:14">
      <c r="A83" s="51">
        <v>45162</v>
      </c>
      <c r="B83" s="51">
        <v>45163</v>
      </c>
      <c r="C83" s="58">
        <v>0.43055555555555558</v>
      </c>
      <c r="D83" s="58">
        <v>0.4826388888888889</v>
      </c>
      <c r="E83" s="52" t="s">
        <v>182</v>
      </c>
      <c r="F83" s="52"/>
      <c r="G83" s="52"/>
      <c r="H83" s="52" t="s">
        <v>267</v>
      </c>
      <c r="I83" s="52" t="s">
        <v>268</v>
      </c>
      <c r="J83" s="28">
        <v>-2.2000000000000002</v>
      </c>
      <c r="K83" s="28">
        <v>-6</v>
      </c>
      <c r="L83" s="29">
        <v>0</v>
      </c>
      <c r="M83" s="29">
        <v>0.05</v>
      </c>
      <c r="N83" s="55">
        <f t="shared" si="1"/>
        <v>11.600000000000001</v>
      </c>
    </row>
    <row r="84" spans="1:14">
      <c r="A84" s="51">
        <v>45163</v>
      </c>
      <c r="B84" s="58">
        <v>0.49305555555555558</v>
      </c>
      <c r="C84" s="58">
        <v>0.5</v>
      </c>
      <c r="D84" s="52" t="s">
        <v>182</v>
      </c>
      <c r="E84" s="52"/>
      <c r="F84" s="52"/>
      <c r="G84" s="52"/>
      <c r="H84" s="52" t="s">
        <v>214</v>
      </c>
      <c r="I84" s="52" t="s">
        <v>215</v>
      </c>
      <c r="J84" s="28">
        <v>-1.1000000000000001</v>
      </c>
      <c r="K84" s="28">
        <v>-0.2</v>
      </c>
      <c r="L84" s="30">
        <v>0.01</v>
      </c>
      <c r="M84" s="30">
        <v>0.03</v>
      </c>
      <c r="N84" s="55">
        <f t="shared" si="1"/>
        <v>8.6000000000000014</v>
      </c>
    </row>
    <row r="85" spans="1:14">
      <c r="A85" s="51">
        <v>45173</v>
      </c>
      <c r="B85" s="58">
        <v>0.5625</v>
      </c>
      <c r="C85" s="58">
        <v>0.65277777777777779</v>
      </c>
      <c r="D85" s="52" t="s">
        <v>182</v>
      </c>
      <c r="E85" s="52"/>
      <c r="F85" s="52"/>
      <c r="G85" s="52"/>
      <c r="H85" s="52" t="s">
        <v>216</v>
      </c>
      <c r="I85" s="52" t="s">
        <v>217</v>
      </c>
      <c r="J85" s="28">
        <v>-0.9</v>
      </c>
      <c r="K85" s="28">
        <v>3.7</v>
      </c>
      <c r="L85" s="30">
        <v>0.03</v>
      </c>
      <c r="M85" s="30">
        <v>0.11</v>
      </c>
      <c r="N85" s="55">
        <f t="shared" si="1"/>
        <v>10.9</v>
      </c>
    </row>
    <row r="86" spans="1:14">
      <c r="A86" s="51">
        <v>45176</v>
      </c>
      <c r="B86" s="51">
        <v>45181</v>
      </c>
      <c r="C86" s="58">
        <v>0.5625</v>
      </c>
      <c r="D86" s="52"/>
      <c r="E86" s="52" t="s">
        <v>182</v>
      </c>
      <c r="F86" s="52"/>
      <c r="G86" s="52"/>
      <c r="H86" s="52" t="s">
        <v>269</v>
      </c>
      <c r="I86" s="52" t="s">
        <v>270</v>
      </c>
      <c r="J86" s="28">
        <v>-1.7</v>
      </c>
      <c r="K86" s="28">
        <v>1.2</v>
      </c>
      <c r="L86" s="29">
        <v>0.01</v>
      </c>
      <c r="M86" s="29">
        <v>0.1</v>
      </c>
      <c r="N86" s="55">
        <f t="shared" si="1"/>
        <v>14.799999999999999</v>
      </c>
    </row>
    <row r="87" spans="1:14">
      <c r="A87" s="51">
        <v>45183</v>
      </c>
      <c r="B87" s="51">
        <v>45183</v>
      </c>
      <c r="C87" s="58">
        <v>0.375</v>
      </c>
      <c r="D87" s="58">
        <v>0.45555555555555555</v>
      </c>
      <c r="E87" s="52" t="s">
        <v>182</v>
      </c>
      <c r="F87" s="52"/>
      <c r="G87" s="52"/>
      <c r="H87" s="52" t="s">
        <v>271</v>
      </c>
      <c r="I87" s="52" t="s">
        <v>272</v>
      </c>
      <c r="J87" s="28">
        <v>-2.1</v>
      </c>
      <c r="K87" s="28">
        <v>-6.9</v>
      </c>
      <c r="L87" s="29">
        <v>0.02</v>
      </c>
      <c r="M87" s="29">
        <v>0.06</v>
      </c>
      <c r="N87" s="55">
        <f t="shared" si="1"/>
        <v>9.9</v>
      </c>
    </row>
    <row r="88" spans="1:14">
      <c r="A88" s="51">
        <v>45186</v>
      </c>
      <c r="B88" s="51">
        <v>45265</v>
      </c>
      <c r="C88" s="58">
        <v>0.70833333333333337</v>
      </c>
      <c r="D88" s="58">
        <v>0.5</v>
      </c>
      <c r="E88" s="52" t="s">
        <v>182</v>
      </c>
      <c r="F88" s="52"/>
      <c r="G88" s="40"/>
      <c r="H88" s="52">
        <v>698.5</v>
      </c>
      <c r="I88" s="52" t="s">
        <v>295</v>
      </c>
      <c r="J88" s="28">
        <v>-2.1</v>
      </c>
      <c r="K88" s="28">
        <v>1.7</v>
      </c>
      <c r="L88" s="30">
        <v>0.02</v>
      </c>
      <c r="M88" s="30">
        <v>0.06</v>
      </c>
      <c r="N88" s="55">
        <f t="shared" si="1"/>
        <v>18.5</v>
      </c>
    </row>
    <row r="89" spans="1:14">
      <c r="A89" s="51">
        <v>45197</v>
      </c>
      <c r="B89" s="51">
        <v>45197</v>
      </c>
      <c r="C89" s="58">
        <v>0.375</v>
      </c>
      <c r="D89" s="58">
        <v>0.41666666666666669</v>
      </c>
      <c r="E89" s="52" t="s">
        <v>182</v>
      </c>
      <c r="F89" s="52"/>
      <c r="G89" s="52"/>
      <c r="H89" s="52" t="s">
        <v>273</v>
      </c>
      <c r="I89" s="52" t="s">
        <v>274</v>
      </c>
      <c r="J89" s="28">
        <v>-1.7</v>
      </c>
      <c r="K89" s="28">
        <v>0.2</v>
      </c>
      <c r="L89" s="29">
        <v>0.01</v>
      </c>
      <c r="M89" s="29">
        <v>0.1</v>
      </c>
      <c r="N89" s="55">
        <f t="shared" si="1"/>
        <v>13.799999999999999</v>
      </c>
    </row>
    <row r="90" spans="1:14">
      <c r="A90" s="51">
        <v>45204</v>
      </c>
      <c r="B90" s="51">
        <v>45204</v>
      </c>
      <c r="C90" s="58">
        <v>0.375</v>
      </c>
      <c r="D90" s="58">
        <v>0.58333333333333337</v>
      </c>
      <c r="E90" s="52" t="s">
        <v>182</v>
      </c>
      <c r="F90" s="52"/>
      <c r="G90" s="52"/>
      <c r="H90" s="52"/>
      <c r="I90" s="52" t="s">
        <v>275</v>
      </c>
      <c r="J90" s="28">
        <v>-1.6</v>
      </c>
      <c r="K90" s="28">
        <v>-1</v>
      </c>
      <c r="L90" s="29">
        <v>0.02</v>
      </c>
      <c r="M90" s="29">
        <v>0.04</v>
      </c>
      <c r="N90" s="55">
        <f t="shared" si="1"/>
        <v>11.8</v>
      </c>
    </row>
    <row r="91" spans="1:14">
      <c r="A91" s="51">
        <v>45218</v>
      </c>
      <c r="B91" s="51">
        <v>45218</v>
      </c>
      <c r="C91" s="58">
        <v>0.375</v>
      </c>
      <c r="D91" s="58">
        <v>0.45833333333333331</v>
      </c>
      <c r="E91" s="52" t="s">
        <v>182</v>
      </c>
      <c r="F91" s="52"/>
      <c r="G91" s="52"/>
      <c r="H91" s="52" t="s">
        <v>276</v>
      </c>
      <c r="I91" s="52" t="s">
        <v>277</v>
      </c>
      <c r="J91" s="28">
        <v>0</v>
      </c>
      <c r="K91" s="28">
        <v>4.3</v>
      </c>
      <c r="L91" s="29">
        <v>0.03</v>
      </c>
      <c r="M91" s="29">
        <v>0.08</v>
      </c>
      <c r="N91" s="55">
        <f t="shared" si="1"/>
        <v>4.3</v>
      </c>
    </row>
    <row r="92" spans="1:14">
      <c r="A92" s="51">
        <v>45223</v>
      </c>
      <c r="B92" s="58">
        <v>0.47569444444444442</v>
      </c>
      <c r="C92" s="52" t="s">
        <v>218</v>
      </c>
      <c r="D92" s="52" t="s">
        <v>182</v>
      </c>
      <c r="E92" s="52"/>
      <c r="F92" s="52"/>
      <c r="G92" s="52"/>
      <c r="H92" s="52" t="s">
        <v>219</v>
      </c>
      <c r="I92" s="52" t="s">
        <v>220</v>
      </c>
      <c r="J92" s="28">
        <v>-1.2</v>
      </c>
      <c r="K92" s="28">
        <v>0.5</v>
      </c>
      <c r="L92" s="30">
        <v>0.01</v>
      </c>
      <c r="M92" s="30">
        <v>0.02</v>
      </c>
      <c r="N92" s="55">
        <f t="shared" si="1"/>
        <v>10.1</v>
      </c>
    </row>
    <row r="93" spans="1:14">
      <c r="A93" s="51">
        <v>45223</v>
      </c>
      <c r="B93" s="51">
        <v>45223</v>
      </c>
      <c r="C93" s="58">
        <v>0.375</v>
      </c>
      <c r="D93" s="58">
        <v>0.45833333333333331</v>
      </c>
      <c r="E93" s="52" t="s">
        <v>182</v>
      </c>
      <c r="F93" s="52"/>
      <c r="G93" s="52"/>
      <c r="H93" s="52" t="s">
        <v>278</v>
      </c>
      <c r="I93" s="52" t="s">
        <v>279</v>
      </c>
      <c r="J93" s="28">
        <v>-2.2000000000000002</v>
      </c>
      <c r="K93" s="28">
        <v>-1.8</v>
      </c>
      <c r="L93" s="29">
        <v>0.03</v>
      </c>
      <c r="M93" s="29">
        <v>0.05</v>
      </c>
      <c r="N93" s="55">
        <f t="shared" si="1"/>
        <v>15.8</v>
      </c>
    </row>
    <row r="94" spans="1:14">
      <c r="A94" s="56">
        <v>45235</v>
      </c>
      <c r="B94" s="51">
        <v>45265</v>
      </c>
      <c r="C94" s="52"/>
      <c r="D94" s="58">
        <v>0.5</v>
      </c>
      <c r="E94" s="52" t="s">
        <v>182</v>
      </c>
      <c r="F94" s="52"/>
      <c r="G94" s="40"/>
      <c r="H94" s="52">
        <v>4264.5</v>
      </c>
      <c r="I94" s="52" t="s">
        <v>296</v>
      </c>
      <c r="J94" s="28">
        <v>-1.6</v>
      </c>
      <c r="K94" s="28">
        <v>-0.3</v>
      </c>
      <c r="L94" s="30">
        <v>0.02</v>
      </c>
      <c r="M94" s="30">
        <v>0.06</v>
      </c>
      <c r="N94" s="55">
        <f t="shared" si="1"/>
        <v>12.5</v>
      </c>
    </row>
    <row r="95" spans="1:14">
      <c r="A95" s="61">
        <v>45239</v>
      </c>
      <c r="B95" s="61">
        <v>45239</v>
      </c>
      <c r="C95" s="58">
        <v>0.375</v>
      </c>
      <c r="D95" s="58">
        <v>0.45833333333333331</v>
      </c>
      <c r="E95" s="52" t="s">
        <v>182</v>
      </c>
      <c r="F95" s="52"/>
      <c r="G95" s="52"/>
      <c r="H95" s="52">
        <v>0</v>
      </c>
      <c r="I95" s="52" t="s">
        <v>280</v>
      </c>
      <c r="J95" s="28">
        <v>-1.5</v>
      </c>
      <c r="K95" s="28">
        <v>1.9</v>
      </c>
      <c r="L95" s="29">
        <v>0.02</v>
      </c>
      <c r="M95" s="29">
        <v>0.04</v>
      </c>
      <c r="N95" s="55">
        <f t="shared" si="1"/>
        <v>13.9</v>
      </c>
    </row>
    <row r="96" spans="1:14">
      <c r="A96" s="51">
        <v>45246</v>
      </c>
      <c r="B96" s="51">
        <v>45246</v>
      </c>
      <c r="C96" s="58">
        <v>0.375</v>
      </c>
      <c r="D96" s="58">
        <v>0.38263888888888886</v>
      </c>
      <c r="E96" s="52" t="s">
        <v>182</v>
      </c>
      <c r="F96" s="52"/>
      <c r="G96" s="52"/>
      <c r="H96" s="52">
        <v>1002.5</v>
      </c>
      <c r="I96" s="52" t="s">
        <v>281</v>
      </c>
      <c r="J96" s="28">
        <v>-1.7</v>
      </c>
      <c r="K96" s="28">
        <v>3.5</v>
      </c>
      <c r="L96" s="29">
        <v>0.03</v>
      </c>
      <c r="M96" s="29">
        <v>0.08</v>
      </c>
      <c r="N96" s="55">
        <f t="shared" si="1"/>
        <v>17.100000000000001</v>
      </c>
    </row>
    <row r="97" spans="1:15">
      <c r="A97" s="61">
        <v>45247</v>
      </c>
      <c r="B97" s="58">
        <v>0.45833333333333331</v>
      </c>
      <c r="C97" s="58">
        <v>0.63541666666666663</v>
      </c>
      <c r="D97" s="52" t="s">
        <v>182</v>
      </c>
      <c r="E97" s="52"/>
      <c r="F97" s="52"/>
      <c r="G97" s="52"/>
      <c r="H97" s="52" t="s">
        <v>221</v>
      </c>
      <c r="I97" s="52" t="s">
        <v>222</v>
      </c>
      <c r="J97" s="28">
        <v>-0.8</v>
      </c>
      <c r="K97" s="28">
        <v>6.6</v>
      </c>
      <c r="L97" s="30">
        <v>0.02</v>
      </c>
      <c r="M97" s="30">
        <v>0.1</v>
      </c>
      <c r="N97" s="55">
        <f t="shared" si="1"/>
        <v>13</v>
      </c>
    </row>
    <row r="98" spans="1:15">
      <c r="A98" s="51">
        <v>45251</v>
      </c>
      <c r="B98" s="51">
        <v>45251</v>
      </c>
      <c r="C98" s="58">
        <v>0.375</v>
      </c>
      <c r="D98" s="57">
        <v>0.46527777777777779</v>
      </c>
      <c r="E98" s="52" t="s">
        <v>182</v>
      </c>
      <c r="F98" s="52"/>
      <c r="G98" s="52"/>
      <c r="H98" s="52">
        <v>2125.1</v>
      </c>
      <c r="I98" s="52" t="s">
        <v>282</v>
      </c>
      <c r="J98" s="28">
        <v>-1.9</v>
      </c>
      <c r="K98" s="28">
        <v>1.1000000000000001</v>
      </c>
      <c r="L98" s="29">
        <v>0.01</v>
      </c>
      <c r="M98" s="29">
        <v>0.04</v>
      </c>
      <c r="N98" s="55">
        <f t="shared" si="1"/>
        <v>16.3</v>
      </c>
    </row>
    <row r="99" spans="1:15">
      <c r="A99" s="51">
        <v>45257</v>
      </c>
      <c r="B99" s="51">
        <v>45257</v>
      </c>
      <c r="C99" s="58">
        <v>0.375</v>
      </c>
      <c r="D99" s="57">
        <v>0.47708333333333336</v>
      </c>
      <c r="E99" s="52" t="s">
        <v>182</v>
      </c>
      <c r="F99" s="52"/>
      <c r="G99" s="52"/>
      <c r="H99" s="52">
        <v>1261</v>
      </c>
      <c r="I99" s="52" t="s">
        <v>283</v>
      </c>
      <c r="J99" s="28">
        <v>0</v>
      </c>
      <c r="K99" s="28">
        <v>6.1</v>
      </c>
      <c r="L99" s="29">
        <v>0.03</v>
      </c>
      <c r="M99" s="29">
        <v>0.09</v>
      </c>
      <c r="N99" s="55">
        <f t="shared" si="1"/>
        <v>6.1</v>
      </c>
    </row>
    <row r="100" spans="1:15">
      <c r="A100" s="51">
        <v>45258</v>
      </c>
      <c r="B100" s="58">
        <v>0.41666666666666669</v>
      </c>
      <c r="C100" s="52" t="s">
        <v>223</v>
      </c>
      <c r="D100" s="52" t="s">
        <v>182</v>
      </c>
      <c r="E100" s="52"/>
      <c r="F100" s="52"/>
      <c r="G100" s="52"/>
      <c r="H100" s="52" t="s">
        <v>224</v>
      </c>
      <c r="I100" s="52" t="s">
        <v>225</v>
      </c>
      <c r="J100" s="28">
        <v>-2.8</v>
      </c>
      <c r="K100" s="28">
        <v>-7.2</v>
      </c>
      <c r="L100" s="30">
        <v>0.01</v>
      </c>
      <c r="M100" s="30">
        <v>0.12</v>
      </c>
      <c r="N100" s="55">
        <f t="shared" si="1"/>
        <v>15.2</v>
      </c>
    </row>
    <row r="101" spans="1:15">
      <c r="A101" s="51">
        <v>45267</v>
      </c>
      <c r="B101" s="51">
        <v>45267</v>
      </c>
      <c r="C101" s="58">
        <v>0.375</v>
      </c>
      <c r="D101" s="57">
        <v>0.44791666666666669</v>
      </c>
      <c r="E101" s="52" t="s">
        <v>182</v>
      </c>
      <c r="F101" s="52"/>
      <c r="G101" s="52"/>
      <c r="H101" s="52">
        <v>2063.1999999999998</v>
      </c>
      <c r="I101" s="52" t="s">
        <v>284</v>
      </c>
      <c r="J101" s="28">
        <v>-4.5999999999999996</v>
      </c>
      <c r="K101" s="28">
        <v>-25.2</v>
      </c>
      <c r="L101" s="29">
        <v>0.02</v>
      </c>
      <c r="M101" s="29">
        <v>0.13</v>
      </c>
      <c r="N101" s="55">
        <f t="shared" si="1"/>
        <v>11.599999999999998</v>
      </c>
    </row>
    <row r="102" spans="1:15">
      <c r="A102" s="62">
        <v>45274</v>
      </c>
      <c r="B102" s="62">
        <v>45274</v>
      </c>
      <c r="C102" s="63">
        <v>0.375</v>
      </c>
      <c r="D102" s="64">
        <v>0.45277777777777778</v>
      </c>
      <c r="E102" s="65" t="s">
        <v>182</v>
      </c>
      <c r="F102" s="40"/>
      <c r="G102" s="40"/>
      <c r="H102" s="65">
        <v>1319.2</v>
      </c>
      <c r="I102" s="40"/>
      <c r="J102" s="40"/>
      <c r="K102" s="40"/>
      <c r="L102" s="40"/>
      <c r="M102" s="40"/>
      <c r="N102" s="40"/>
    </row>
    <row r="103" spans="1:15">
      <c r="A103" s="62">
        <v>45281</v>
      </c>
      <c r="B103" s="62">
        <v>45281</v>
      </c>
      <c r="C103" s="63">
        <v>0.375</v>
      </c>
      <c r="D103" s="63">
        <v>0.45</v>
      </c>
      <c r="E103" s="65" t="s">
        <v>182</v>
      </c>
      <c r="F103" s="40"/>
      <c r="G103" s="40"/>
      <c r="H103" s="65">
        <v>3682.5</v>
      </c>
      <c r="I103" s="40"/>
      <c r="J103" s="40"/>
      <c r="K103" s="40"/>
      <c r="L103" s="40"/>
      <c r="M103" s="40"/>
      <c r="N103" s="40"/>
    </row>
    <row r="104" spans="1:15">
      <c r="A104" s="62">
        <v>45288</v>
      </c>
      <c r="B104" s="62">
        <v>45288</v>
      </c>
      <c r="C104" s="63">
        <v>0.375</v>
      </c>
      <c r="D104" s="63">
        <v>0.47291666666666665</v>
      </c>
      <c r="E104" s="65" t="s">
        <v>182</v>
      </c>
      <c r="F104" s="40"/>
      <c r="G104" s="40"/>
      <c r="H104" s="65">
        <v>914.5</v>
      </c>
      <c r="I104" s="40"/>
      <c r="J104" s="40"/>
      <c r="K104" s="40"/>
      <c r="L104" s="40"/>
      <c r="M104" s="40"/>
      <c r="N104" s="40"/>
    </row>
    <row r="105" spans="1:15">
      <c r="A105" s="62">
        <v>45295</v>
      </c>
      <c r="B105" s="62">
        <v>45295</v>
      </c>
      <c r="C105" s="63">
        <v>0.375</v>
      </c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</row>
    <row r="106" spans="1:15">
      <c r="A106" s="62">
        <v>45302</v>
      </c>
      <c r="B106" s="62">
        <v>45302</v>
      </c>
      <c r="C106" s="63">
        <v>0.375</v>
      </c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</row>
    <row r="107" spans="1:15">
      <c r="A107" s="66">
        <v>45316</v>
      </c>
      <c r="B107" s="66">
        <v>45316</v>
      </c>
      <c r="C107" s="63">
        <v>0.375</v>
      </c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</row>
    <row r="108" spans="1:15">
      <c r="A108" s="66">
        <v>45322</v>
      </c>
      <c r="B108" s="66">
        <v>45322</v>
      </c>
      <c r="C108" s="63">
        <v>0.375</v>
      </c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</row>
    <row r="109" spans="1:15">
      <c r="A109" s="66">
        <v>45329</v>
      </c>
      <c r="B109" s="66">
        <v>45329</v>
      </c>
      <c r="C109" s="63">
        <v>0.375</v>
      </c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</row>
    <row r="112" spans="1:15" ht="17">
      <c r="D112" s="31"/>
      <c r="F112" s="32"/>
      <c r="H112" s="33" t="s">
        <v>297</v>
      </c>
      <c r="I112" s="32" t="s">
        <v>298</v>
      </c>
      <c r="J112" s="34" t="s">
        <v>299</v>
      </c>
      <c r="K112" s="34" t="s">
        <v>300</v>
      </c>
      <c r="L112" s="32" t="s">
        <v>301</v>
      </c>
      <c r="M112" s="35" t="s">
        <v>301</v>
      </c>
      <c r="N112" s="36" t="s">
        <v>302</v>
      </c>
      <c r="O112" s="47"/>
    </row>
  </sheetData>
  <sortState xmlns:xlrd2="http://schemas.microsoft.com/office/spreadsheetml/2017/richdata2" ref="A3:N112">
    <sortCondition ref="A3:A112"/>
  </sortState>
  <mergeCells count="2">
    <mergeCell ref="J1:K1"/>
    <mergeCell ref="L1:M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9727-5BAE-1446-B48D-603B605EABC1}">
  <dimension ref="B2:H994"/>
  <sheetViews>
    <sheetView topLeftCell="A2" zoomScale="143" workbookViewId="0">
      <selection activeCell="B2" sqref="B2:D40"/>
    </sheetView>
  </sheetViews>
  <sheetFormatPr baseColWidth="10" defaultRowHeight="15"/>
  <cols>
    <col min="2" max="2" width="11.5" bestFit="1" customWidth="1"/>
    <col min="3" max="3" width="9.1640625" bestFit="1" customWidth="1"/>
    <col min="4" max="4" width="7.6640625" bestFit="1" customWidth="1"/>
  </cols>
  <sheetData>
    <row r="2" spans="2:8">
      <c r="B2" s="68" t="s">
        <v>306</v>
      </c>
      <c r="C2" s="100" t="s">
        <v>14</v>
      </c>
      <c r="D2" s="100"/>
    </row>
    <row r="3" spans="2:8">
      <c r="B3" s="70"/>
      <c r="C3" s="71" t="s">
        <v>307</v>
      </c>
      <c r="D3" s="71" t="s">
        <v>308</v>
      </c>
    </row>
    <row r="4" spans="2:8">
      <c r="B4" s="72">
        <v>44967</v>
      </c>
      <c r="C4" s="73">
        <v>-2.5</v>
      </c>
      <c r="D4" s="73">
        <v>-7</v>
      </c>
    </row>
    <row r="5" spans="2:8">
      <c r="B5" s="72">
        <v>44974</v>
      </c>
      <c r="C5" s="73">
        <v>-6</v>
      </c>
      <c r="D5" s="73">
        <v>-37.1</v>
      </c>
    </row>
    <row r="6" spans="2:8">
      <c r="B6" s="72">
        <v>44981</v>
      </c>
      <c r="C6" s="73">
        <v>-3.1</v>
      </c>
      <c r="D6" s="73">
        <v>-13.6</v>
      </c>
    </row>
    <row r="7" spans="2:8">
      <c r="B7" s="72">
        <v>44988</v>
      </c>
      <c r="C7" s="73">
        <v>-3</v>
      </c>
      <c r="D7" s="73">
        <v>-6.7</v>
      </c>
    </row>
    <row r="8" spans="2:8">
      <c r="B8" s="72">
        <v>44995</v>
      </c>
      <c r="C8" s="73">
        <v>-3.1</v>
      </c>
      <c r="D8" s="73">
        <v>-9.9</v>
      </c>
    </row>
    <row r="9" spans="2:8">
      <c r="B9" s="72">
        <v>45002</v>
      </c>
      <c r="C9" s="73">
        <v>-1.3</v>
      </c>
      <c r="D9" s="73">
        <v>-2.2999999999999998</v>
      </c>
      <c r="H9" s="69"/>
    </row>
    <row r="10" spans="2:8">
      <c r="B10" s="72">
        <v>45007</v>
      </c>
      <c r="C10" s="73">
        <v>-1.4</v>
      </c>
      <c r="D10" s="73">
        <v>1.4</v>
      </c>
    </row>
    <row r="11" spans="2:8">
      <c r="B11" s="72">
        <v>45014</v>
      </c>
      <c r="C11" s="73">
        <v>-1.2</v>
      </c>
      <c r="D11" s="73">
        <v>2.5</v>
      </c>
    </row>
    <row r="12" spans="2:8">
      <c r="B12" s="72">
        <v>45028</v>
      </c>
      <c r="C12" s="73">
        <v>-2.6</v>
      </c>
      <c r="D12" s="73">
        <v>-6.1</v>
      </c>
    </row>
    <row r="13" spans="2:8">
      <c r="B13" s="72">
        <v>45036</v>
      </c>
      <c r="C13" s="73">
        <v>-0.8</v>
      </c>
      <c r="D13" s="73">
        <v>-1.7</v>
      </c>
    </row>
    <row r="14" spans="2:8">
      <c r="B14" s="72">
        <v>45044</v>
      </c>
      <c r="C14" s="73">
        <v>-1.3</v>
      </c>
      <c r="D14" s="73">
        <v>1.5</v>
      </c>
    </row>
    <row r="15" spans="2:8">
      <c r="B15" s="72">
        <v>45049</v>
      </c>
      <c r="C15" s="73">
        <v>-1.9</v>
      </c>
      <c r="D15" s="73">
        <v>0.3</v>
      </c>
    </row>
    <row r="16" spans="2:8">
      <c r="B16" s="72">
        <v>45056</v>
      </c>
      <c r="C16" s="73">
        <v>-1.8</v>
      </c>
      <c r="D16" s="73">
        <v>-0.1</v>
      </c>
    </row>
    <row r="17" spans="2:4">
      <c r="B17" s="72">
        <v>45072</v>
      </c>
      <c r="C17" s="73">
        <v>-1.7</v>
      </c>
      <c r="D17" s="73">
        <v>0.1</v>
      </c>
    </row>
    <row r="18" spans="2:4">
      <c r="B18" s="72">
        <v>45079</v>
      </c>
      <c r="C18" s="73">
        <v>-1.6</v>
      </c>
      <c r="D18" s="73">
        <v>0.3</v>
      </c>
    </row>
    <row r="19" spans="2:4">
      <c r="B19" s="72">
        <v>45086</v>
      </c>
      <c r="C19" s="73">
        <v>-1.9</v>
      </c>
      <c r="D19" s="73">
        <v>-0.7</v>
      </c>
    </row>
    <row r="20" spans="2:4">
      <c r="B20" s="72">
        <v>45093</v>
      </c>
      <c r="C20" s="73">
        <v>-1.6</v>
      </c>
      <c r="D20" s="73">
        <v>-1.2</v>
      </c>
    </row>
    <row r="21" spans="2:4">
      <c r="B21" s="72">
        <v>45100</v>
      </c>
      <c r="C21" s="73">
        <v>-2</v>
      </c>
      <c r="D21" s="73">
        <v>-2.1</v>
      </c>
    </row>
    <row r="22" spans="2:4">
      <c r="B22" s="72">
        <v>45107</v>
      </c>
      <c r="C22" s="73">
        <v>-2</v>
      </c>
      <c r="D22" s="73">
        <v>-2.4</v>
      </c>
    </row>
    <row r="23" spans="2:4">
      <c r="B23" s="72">
        <v>45114</v>
      </c>
      <c r="C23" s="73">
        <v>-1.6</v>
      </c>
      <c r="D23" s="73">
        <v>-1.1000000000000001</v>
      </c>
    </row>
    <row r="24" spans="2:4">
      <c r="B24" s="72">
        <v>45121</v>
      </c>
      <c r="C24" s="73">
        <v>-1.7</v>
      </c>
      <c r="D24" s="73">
        <v>0.8</v>
      </c>
    </row>
    <row r="25" spans="2:4">
      <c r="B25" s="72">
        <v>45128</v>
      </c>
      <c r="C25" s="73">
        <v>-1.3</v>
      </c>
      <c r="D25" s="73">
        <v>-1.1000000000000001</v>
      </c>
    </row>
    <row r="26" spans="2:4">
      <c r="B26" s="72">
        <v>45135</v>
      </c>
      <c r="C26" s="73">
        <v>-1.8</v>
      </c>
      <c r="D26" s="73">
        <v>-3.9</v>
      </c>
    </row>
    <row r="27" spans="2:4">
      <c r="B27" s="72">
        <v>45142</v>
      </c>
      <c r="C27" s="73">
        <v>-1.6</v>
      </c>
      <c r="D27" s="73">
        <v>-2.1</v>
      </c>
    </row>
    <row r="28" spans="2:4">
      <c r="B28" s="72">
        <v>45149</v>
      </c>
      <c r="C28" s="73">
        <v>-1.4</v>
      </c>
      <c r="D28" s="73">
        <v>-1.3</v>
      </c>
    </row>
    <row r="29" spans="2:4">
      <c r="B29" s="72">
        <v>45162</v>
      </c>
      <c r="C29" s="73">
        <v>-2.2000000000000002</v>
      </c>
      <c r="D29" s="73">
        <v>-6</v>
      </c>
    </row>
    <row r="30" spans="2:4">
      <c r="B30" s="72">
        <v>45176</v>
      </c>
      <c r="C30" s="73">
        <v>-1.7</v>
      </c>
      <c r="D30" s="73">
        <v>1.2</v>
      </c>
    </row>
    <row r="31" spans="2:4">
      <c r="B31" s="72">
        <v>45183</v>
      </c>
      <c r="C31" s="73">
        <v>-2.1</v>
      </c>
      <c r="D31" s="73">
        <v>-6.9</v>
      </c>
    </row>
    <row r="32" spans="2:4">
      <c r="B32" s="72">
        <v>45197</v>
      </c>
      <c r="C32" s="73">
        <v>-1.7</v>
      </c>
      <c r="D32" s="73">
        <v>0.2</v>
      </c>
    </row>
    <row r="33" spans="2:4">
      <c r="B33" s="72">
        <v>45204</v>
      </c>
      <c r="C33" s="73">
        <v>-1.6</v>
      </c>
      <c r="D33" s="73">
        <v>-1</v>
      </c>
    </row>
    <row r="34" spans="2:4">
      <c r="B34" s="72">
        <v>45218</v>
      </c>
      <c r="C34" s="73">
        <v>0</v>
      </c>
      <c r="D34" s="73">
        <v>4.3</v>
      </c>
    </row>
    <row r="35" spans="2:4">
      <c r="B35" s="72">
        <v>45223</v>
      </c>
      <c r="C35" s="73">
        <v>-2.2000000000000002</v>
      </c>
      <c r="D35" s="73">
        <v>-1.8</v>
      </c>
    </row>
    <row r="36" spans="2:4">
      <c r="B36" s="72">
        <v>45239</v>
      </c>
      <c r="C36" s="73">
        <v>-1.5</v>
      </c>
      <c r="D36" s="73">
        <v>1.9</v>
      </c>
    </row>
    <row r="37" spans="2:4">
      <c r="B37" s="72">
        <v>45246</v>
      </c>
      <c r="C37" s="73">
        <v>-1.7</v>
      </c>
      <c r="D37" s="73">
        <v>3.5</v>
      </c>
    </row>
    <row r="38" spans="2:4">
      <c r="B38" s="72">
        <v>45251</v>
      </c>
      <c r="C38" s="73">
        <v>-1.9</v>
      </c>
      <c r="D38" s="73">
        <v>1.1000000000000001</v>
      </c>
    </row>
    <row r="39" spans="2:4">
      <c r="B39" s="72">
        <v>45257</v>
      </c>
      <c r="C39" s="73">
        <v>0</v>
      </c>
      <c r="D39" s="73">
        <v>6.1</v>
      </c>
    </row>
    <row r="40" spans="2:4">
      <c r="B40" s="72">
        <v>45267</v>
      </c>
      <c r="C40" s="73">
        <v>-4.5999999999999996</v>
      </c>
      <c r="D40" s="73">
        <v>-25.2</v>
      </c>
    </row>
    <row r="41" spans="2:4">
      <c r="B41" s="72"/>
      <c r="C41" s="70"/>
      <c r="D41" s="70"/>
    </row>
    <row r="42" spans="2:4">
      <c r="B42" s="72"/>
      <c r="C42" s="70"/>
      <c r="D42" s="70"/>
    </row>
    <row r="43" spans="2:4">
      <c r="B43" s="72"/>
      <c r="C43" s="70"/>
      <c r="D43" s="70"/>
    </row>
    <row r="44" spans="2:4">
      <c r="B44" s="72"/>
      <c r="C44" s="70"/>
      <c r="D44" s="70"/>
    </row>
    <row r="45" spans="2:4">
      <c r="B45" s="72"/>
      <c r="C45" s="70"/>
      <c r="D45" s="70"/>
    </row>
    <row r="46" spans="2:4">
      <c r="B46" s="72"/>
      <c r="C46" s="70"/>
      <c r="D46" s="70"/>
    </row>
    <row r="47" spans="2:4">
      <c r="B47" s="72"/>
      <c r="C47" s="70"/>
      <c r="D47" s="70"/>
    </row>
    <row r="48" spans="2:4">
      <c r="B48" s="72"/>
      <c r="C48" s="70"/>
      <c r="D48" s="70"/>
    </row>
    <row r="49" spans="2:4">
      <c r="B49" s="67"/>
      <c r="C49" s="67"/>
      <c r="D49" s="67"/>
    </row>
    <row r="50" spans="2:4">
      <c r="B50" s="67"/>
      <c r="C50" s="67"/>
      <c r="D50" s="67"/>
    </row>
    <row r="51" spans="2:4">
      <c r="B51" s="67"/>
      <c r="C51" s="67"/>
      <c r="D51" s="67"/>
    </row>
    <row r="52" spans="2:4">
      <c r="B52" s="67"/>
      <c r="C52" s="67"/>
      <c r="D52" s="67"/>
    </row>
    <row r="53" spans="2:4">
      <c r="B53" s="67"/>
      <c r="C53" s="67"/>
      <c r="D53" s="67"/>
    </row>
    <row r="54" spans="2:4">
      <c r="B54" s="67"/>
      <c r="C54" s="67"/>
      <c r="D54" s="67"/>
    </row>
    <row r="55" spans="2:4">
      <c r="B55" s="67"/>
      <c r="C55" s="67"/>
      <c r="D55" s="67"/>
    </row>
    <row r="56" spans="2:4">
      <c r="B56" s="67"/>
      <c r="C56" s="67"/>
      <c r="D56" s="67"/>
    </row>
    <row r="57" spans="2:4">
      <c r="B57" s="67"/>
      <c r="C57" s="67"/>
      <c r="D57" s="67"/>
    </row>
    <row r="58" spans="2:4">
      <c r="B58" s="67"/>
      <c r="C58" s="67"/>
      <c r="D58" s="67"/>
    </row>
    <row r="59" spans="2:4">
      <c r="B59" s="67"/>
      <c r="C59" s="67"/>
      <c r="D59" s="67"/>
    </row>
    <row r="60" spans="2:4">
      <c r="B60" s="67"/>
      <c r="C60" s="67"/>
      <c r="D60" s="67"/>
    </row>
    <row r="61" spans="2:4">
      <c r="B61" s="67"/>
      <c r="C61" s="67"/>
      <c r="D61" s="67"/>
    </row>
    <row r="62" spans="2:4">
      <c r="B62" s="67"/>
      <c r="C62" s="67"/>
      <c r="D62" s="67"/>
    </row>
    <row r="63" spans="2:4">
      <c r="B63" s="67"/>
      <c r="C63" s="67"/>
      <c r="D63" s="67"/>
    </row>
    <row r="64" spans="2:4">
      <c r="B64" s="67"/>
      <c r="C64" s="67"/>
      <c r="D64" s="67"/>
    </row>
    <row r="65" spans="2:4">
      <c r="B65" s="67"/>
      <c r="C65" s="67"/>
      <c r="D65" s="67"/>
    </row>
    <row r="66" spans="2:4">
      <c r="B66" s="67"/>
      <c r="C66" s="67"/>
      <c r="D66" s="67"/>
    </row>
    <row r="67" spans="2:4">
      <c r="B67" s="67"/>
      <c r="C67" s="67"/>
      <c r="D67" s="67"/>
    </row>
    <row r="68" spans="2:4">
      <c r="B68" s="67"/>
      <c r="C68" s="67"/>
      <c r="D68" s="67"/>
    </row>
    <row r="69" spans="2:4">
      <c r="B69" s="67"/>
      <c r="C69" s="67"/>
      <c r="D69" s="67"/>
    </row>
    <row r="70" spans="2:4">
      <c r="B70" s="67"/>
      <c r="C70" s="67"/>
      <c r="D70" s="67"/>
    </row>
    <row r="71" spans="2:4">
      <c r="B71" s="67"/>
      <c r="C71" s="67"/>
      <c r="D71" s="67"/>
    </row>
    <row r="72" spans="2:4">
      <c r="B72" s="67"/>
      <c r="C72" s="67"/>
      <c r="D72" s="67"/>
    </row>
    <row r="73" spans="2:4">
      <c r="B73" s="67"/>
      <c r="C73" s="67"/>
      <c r="D73" s="67"/>
    </row>
    <row r="74" spans="2:4">
      <c r="B74" s="67"/>
      <c r="C74" s="67"/>
      <c r="D74" s="67"/>
    </row>
    <row r="75" spans="2:4">
      <c r="B75" s="67"/>
      <c r="C75" s="67"/>
      <c r="D75" s="67"/>
    </row>
    <row r="76" spans="2:4">
      <c r="B76" s="67"/>
      <c r="C76" s="67"/>
      <c r="D76" s="67"/>
    </row>
    <row r="77" spans="2:4">
      <c r="B77" s="67"/>
      <c r="C77" s="67"/>
      <c r="D77" s="67"/>
    </row>
    <row r="78" spans="2:4">
      <c r="B78" s="67"/>
      <c r="C78" s="67"/>
      <c r="D78" s="67"/>
    </row>
    <row r="79" spans="2:4">
      <c r="B79" s="67"/>
      <c r="C79" s="67"/>
      <c r="D79" s="67"/>
    </row>
    <row r="80" spans="2:4">
      <c r="B80" s="67"/>
      <c r="C80" s="67"/>
      <c r="D80" s="67"/>
    </row>
    <row r="81" spans="2:4">
      <c r="B81" s="67"/>
      <c r="C81" s="67"/>
      <c r="D81" s="67"/>
    </row>
    <row r="82" spans="2:4">
      <c r="B82" s="67"/>
      <c r="C82" s="67"/>
      <c r="D82" s="67"/>
    </row>
    <row r="83" spans="2:4">
      <c r="B83" s="67"/>
      <c r="C83" s="67"/>
      <c r="D83" s="67"/>
    </row>
    <row r="84" spans="2:4">
      <c r="B84" s="67"/>
      <c r="C84" s="67"/>
      <c r="D84" s="67"/>
    </row>
    <row r="85" spans="2:4">
      <c r="B85" s="67"/>
      <c r="C85" s="67"/>
      <c r="D85" s="67"/>
    </row>
    <row r="86" spans="2:4">
      <c r="B86" s="67"/>
      <c r="C86" s="67"/>
      <c r="D86" s="67"/>
    </row>
    <row r="87" spans="2:4">
      <c r="B87" s="67"/>
      <c r="C87" s="67"/>
      <c r="D87" s="67"/>
    </row>
    <row r="88" spans="2:4">
      <c r="B88" s="67"/>
      <c r="C88" s="67"/>
      <c r="D88" s="67"/>
    </row>
    <row r="89" spans="2:4">
      <c r="B89" s="67"/>
      <c r="C89" s="67"/>
      <c r="D89" s="67"/>
    </row>
    <row r="90" spans="2:4">
      <c r="B90" s="67"/>
      <c r="C90" s="67"/>
      <c r="D90" s="67"/>
    </row>
    <row r="91" spans="2:4">
      <c r="B91" s="67"/>
      <c r="C91" s="67"/>
      <c r="D91" s="67"/>
    </row>
    <row r="92" spans="2:4">
      <c r="B92" s="67"/>
      <c r="C92" s="67"/>
      <c r="D92" s="67"/>
    </row>
    <row r="93" spans="2:4">
      <c r="B93" s="67"/>
      <c r="C93" s="67"/>
      <c r="D93" s="67"/>
    </row>
    <row r="94" spans="2:4">
      <c r="B94" s="67"/>
      <c r="C94" s="67"/>
      <c r="D94" s="67"/>
    </row>
    <row r="95" spans="2:4">
      <c r="B95" s="67"/>
      <c r="C95" s="67"/>
      <c r="D95" s="67"/>
    </row>
    <row r="96" spans="2:4">
      <c r="B96" s="67"/>
      <c r="C96" s="67"/>
      <c r="D96" s="67"/>
    </row>
    <row r="97" spans="2:4">
      <c r="B97" s="67"/>
      <c r="C97" s="67"/>
      <c r="D97" s="67"/>
    </row>
    <row r="98" spans="2:4">
      <c r="B98" s="67"/>
      <c r="C98" s="67"/>
      <c r="D98" s="67"/>
    </row>
    <row r="99" spans="2:4">
      <c r="B99" s="67"/>
      <c r="C99" s="67"/>
      <c r="D99" s="67"/>
    </row>
    <row r="100" spans="2:4">
      <c r="B100" s="67"/>
      <c r="C100" s="67"/>
      <c r="D100" s="67"/>
    </row>
    <row r="101" spans="2:4">
      <c r="B101" s="67"/>
      <c r="C101" s="67"/>
      <c r="D101" s="67"/>
    </row>
    <row r="102" spans="2:4">
      <c r="B102" s="67"/>
      <c r="C102" s="67"/>
      <c r="D102" s="67"/>
    </row>
    <row r="103" spans="2:4">
      <c r="B103" s="67"/>
      <c r="C103" s="67"/>
      <c r="D103" s="67"/>
    </row>
    <row r="104" spans="2:4">
      <c r="B104" s="67"/>
      <c r="C104" s="67"/>
      <c r="D104" s="67"/>
    </row>
    <row r="105" spans="2:4">
      <c r="B105" s="67"/>
      <c r="C105" s="67"/>
      <c r="D105" s="67"/>
    </row>
    <row r="106" spans="2:4">
      <c r="B106" s="67"/>
      <c r="C106" s="67"/>
      <c r="D106" s="67"/>
    </row>
    <row r="107" spans="2:4">
      <c r="B107" s="67"/>
      <c r="C107" s="67"/>
      <c r="D107" s="67"/>
    </row>
    <row r="108" spans="2:4">
      <c r="B108" s="67"/>
      <c r="C108" s="67"/>
      <c r="D108" s="67"/>
    </row>
    <row r="109" spans="2:4">
      <c r="B109" s="67"/>
      <c r="C109" s="67"/>
      <c r="D109" s="67"/>
    </row>
    <row r="110" spans="2:4">
      <c r="B110" s="67"/>
      <c r="C110" s="67"/>
      <c r="D110" s="67"/>
    </row>
    <row r="111" spans="2:4">
      <c r="B111" s="67"/>
      <c r="C111" s="67"/>
      <c r="D111" s="67"/>
    </row>
    <row r="112" spans="2:4">
      <c r="B112" s="67"/>
      <c r="C112" s="67"/>
      <c r="D112" s="67"/>
    </row>
    <row r="113" spans="2:4">
      <c r="B113" s="67"/>
      <c r="C113" s="67"/>
      <c r="D113" s="67"/>
    </row>
    <row r="114" spans="2:4">
      <c r="B114" s="67"/>
      <c r="C114" s="67"/>
      <c r="D114" s="67"/>
    </row>
    <row r="115" spans="2:4">
      <c r="B115" s="67"/>
      <c r="C115" s="67"/>
      <c r="D115" s="67"/>
    </row>
    <row r="116" spans="2:4">
      <c r="B116" s="67"/>
      <c r="C116" s="67"/>
      <c r="D116" s="67"/>
    </row>
    <row r="117" spans="2:4">
      <c r="B117" s="67"/>
      <c r="C117" s="67"/>
      <c r="D117" s="67"/>
    </row>
    <row r="118" spans="2:4">
      <c r="B118" s="67"/>
      <c r="C118" s="67"/>
      <c r="D118" s="67"/>
    </row>
    <row r="119" spans="2:4">
      <c r="B119" s="67"/>
      <c r="C119" s="67"/>
      <c r="D119" s="67"/>
    </row>
    <row r="120" spans="2:4">
      <c r="B120" s="67"/>
      <c r="C120" s="67"/>
      <c r="D120" s="67"/>
    </row>
    <row r="121" spans="2:4">
      <c r="B121" s="67"/>
      <c r="C121" s="67"/>
      <c r="D121" s="67"/>
    </row>
    <row r="122" spans="2:4">
      <c r="B122" s="67"/>
      <c r="C122" s="67"/>
      <c r="D122" s="67"/>
    </row>
    <row r="123" spans="2:4">
      <c r="B123" s="67"/>
      <c r="C123" s="67"/>
      <c r="D123" s="67"/>
    </row>
    <row r="124" spans="2:4">
      <c r="B124" s="67"/>
      <c r="C124" s="67"/>
      <c r="D124" s="67"/>
    </row>
    <row r="125" spans="2:4">
      <c r="B125" s="67"/>
      <c r="C125" s="67"/>
      <c r="D125" s="67"/>
    </row>
    <row r="126" spans="2:4">
      <c r="B126" s="67"/>
      <c r="C126" s="67"/>
      <c r="D126" s="67"/>
    </row>
    <row r="127" spans="2:4">
      <c r="B127" s="67"/>
      <c r="C127" s="67"/>
      <c r="D127" s="67"/>
    </row>
    <row r="128" spans="2:4">
      <c r="B128" s="67"/>
      <c r="C128" s="67"/>
      <c r="D128" s="67"/>
    </row>
    <row r="129" spans="2:4">
      <c r="B129" s="67"/>
      <c r="C129" s="67"/>
      <c r="D129" s="67"/>
    </row>
    <row r="130" spans="2:4">
      <c r="B130" s="67"/>
      <c r="C130" s="67"/>
      <c r="D130" s="67"/>
    </row>
    <row r="131" spans="2:4">
      <c r="B131" s="67"/>
      <c r="C131" s="67"/>
      <c r="D131" s="67"/>
    </row>
    <row r="132" spans="2:4">
      <c r="B132" s="67"/>
      <c r="C132" s="67"/>
      <c r="D132" s="67"/>
    </row>
    <row r="133" spans="2:4">
      <c r="B133" s="67"/>
      <c r="C133" s="67"/>
      <c r="D133" s="67"/>
    </row>
    <row r="134" spans="2:4">
      <c r="B134" s="67"/>
      <c r="C134" s="67"/>
      <c r="D134" s="67"/>
    </row>
    <row r="135" spans="2:4">
      <c r="B135" s="67"/>
      <c r="C135" s="67"/>
      <c r="D135" s="67"/>
    </row>
    <row r="136" spans="2:4">
      <c r="B136" s="67"/>
      <c r="C136" s="67"/>
      <c r="D136" s="67"/>
    </row>
    <row r="137" spans="2:4">
      <c r="B137" s="67"/>
      <c r="C137" s="67"/>
      <c r="D137" s="67"/>
    </row>
    <row r="138" spans="2:4">
      <c r="B138" s="67"/>
      <c r="C138" s="67"/>
      <c r="D138" s="67"/>
    </row>
    <row r="139" spans="2:4">
      <c r="B139" s="67"/>
      <c r="C139" s="67"/>
      <c r="D139" s="67"/>
    </row>
    <row r="140" spans="2:4">
      <c r="B140" s="67"/>
      <c r="C140" s="67"/>
      <c r="D140" s="67"/>
    </row>
    <row r="141" spans="2:4">
      <c r="B141" s="67"/>
      <c r="C141" s="67"/>
      <c r="D141" s="67"/>
    </row>
    <row r="142" spans="2:4">
      <c r="B142" s="67"/>
      <c r="C142" s="67"/>
      <c r="D142" s="67"/>
    </row>
    <row r="143" spans="2:4">
      <c r="B143" s="67"/>
      <c r="C143" s="67"/>
      <c r="D143" s="67"/>
    </row>
    <row r="144" spans="2:4">
      <c r="B144" s="67"/>
      <c r="C144" s="67"/>
      <c r="D144" s="67"/>
    </row>
    <row r="145" spans="2:4">
      <c r="B145" s="67"/>
      <c r="C145" s="67"/>
      <c r="D145" s="67"/>
    </row>
    <row r="146" spans="2:4">
      <c r="B146" s="67"/>
      <c r="C146" s="67"/>
      <c r="D146" s="67"/>
    </row>
    <row r="147" spans="2:4">
      <c r="B147" s="67"/>
      <c r="C147" s="67"/>
      <c r="D147" s="67"/>
    </row>
    <row r="148" spans="2:4">
      <c r="B148" s="67"/>
      <c r="C148" s="67"/>
      <c r="D148" s="67"/>
    </row>
    <row r="149" spans="2:4">
      <c r="B149" s="67"/>
      <c r="C149" s="67"/>
      <c r="D149" s="67"/>
    </row>
    <row r="150" spans="2:4">
      <c r="B150" s="67"/>
      <c r="C150" s="67"/>
      <c r="D150" s="67"/>
    </row>
    <row r="151" spans="2:4">
      <c r="B151" s="67"/>
      <c r="C151" s="67"/>
      <c r="D151" s="67"/>
    </row>
    <row r="152" spans="2:4">
      <c r="B152" s="67"/>
      <c r="C152" s="67"/>
      <c r="D152" s="67"/>
    </row>
    <row r="153" spans="2:4">
      <c r="B153" s="67"/>
      <c r="C153" s="67"/>
      <c r="D153" s="67"/>
    </row>
    <row r="154" spans="2:4">
      <c r="B154" s="67"/>
      <c r="C154" s="67"/>
      <c r="D154" s="67"/>
    </row>
    <row r="155" spans="2:4">
      <c r="B155" s="67"/>
      <c r="C155" s="67"/>
      <c r="D155" s="67"/>
    </row>
    <row r="156" spans="2:4">
      <c r="B156" s="67"/>
      <c r="C156" s="67"/>
      <c r="D156" s="67"/>
    </row>
    <row r="157" spans="2:4">
      <c r="B157" s="67"/>
      <c r="C157" s="67"/>
      <c r="D157" s="67"/>
    </row>
    <row r="158" spans="2:4">
      <c r="B158" s="67"/>
      <c r="C158" s="67"/>
      <c r="D158" s="67"/>
    </row>
    <row r="159" spans="2:4">
      <c r="B159" s="67"/>
      <c r="C159" s="67"/>
      <c r="D159" s="67"/>
    </row>
    <row r="160" spans="2:4">
      <c r="B160" s="67"/>
      <c r="C160" s="67"/>
      <c r="D160" s="67"/>
    </row>
    <row r="161" spans="2:4">
      <c r="B161" s="67"/>
      <c r="C161" s="67"/>
      <c r="D161" s="67"/>
    </row>
    <row r="162" spans="2:4">
      <c r="B162" s="67"/>
      <c r="C162" s="67"/>
      <c r="D162" s="67"/>
    </row>
    <row r="163" spans="2:4">
      <c r="B163" s="67"/>
      <c r="C163" s="67"/>
      <c r="D163" s="67"/>
    </row>
    <row r="164" spans="2:4">
      <c r="B164" s="67"/>
      <c r="C164" s="67"/>
      <c r="D164" s="67"/>
    </row>
    <row r="165" spans="2:4">
      <c r="B165" s="67"/>
      <c r="C165" s="67"/>
      <c r="D165" s="67"/>
    </row>
    <row r="166" spans="2:4">
      <c r="B166" s="67"/>
      <c r="C166" s="67"/>
      <c r="D166" s="67"/>
    </row>
    <row r="167" spans="2:4">
      <c r="B167" s="67"/>
      <c r="C167" s="67"/>
      <c r="D167" s="67"/>
    </row>
    <row r="168" spans="2:4">
      <c r="B168" s="67"/>
      <c r="C168" s="67"/>
      <c r="D168" s="67"/>
    </row>
    <row r="169" spans="2:4">
      <c r="B169" s="67"/>
      <c r="C169" s="67"/>
      <c r="D169" s="67"/>
    </row>
    <row r="170" spans="2:4">
      <c r="B170" s="67"/>
      <c r="C170" s="67"/>
      <c r="D170" s="67"/>
    </row>
    <row r="171" spans="2:4">
      <c r="B171" s="67"/>
      <c r="C171" s="67"/>
      <c r="D171" s="67"/>
    </row>
    <row r="172" spans="2:4">
      <c r="B172" s="67"/>
      <c r="C172" s="67"/>
      <c r="D172" s="67"/>
    </row>
    <row r="173" spans="2:4">
      <c r="B173" s="67"/>
      <c r="C173" s="67"/>
      <c r="D173" s="67"/>
    </row>
    <row r="174" spans="2:4">
      <c r="B174" s="67"/>
      <c r="C174" s="67"/>
      <c r="D174" s="67"/>
    </row>
    <row r="175" spans="2:4">
      <c r="B175" s="67"/>
      <c r="C175" s="67"/>
      <c r="D175" s="67"/>
    </row>
    <row r="176" spans="2:4">
      <c r="B176" s="67"/>
      <c r="C176" s="67"/>
      <c r="D176" s="67"/>
    </row>
    <row r="177" spans="2:4">
      <c r="B177" s="67"/>
      <c r="C177" s="67"/>
      <c r="D177" s="67"/>
    </row>
    <row r="178" spans="2:4">
      <c r="B178" s="67"/>
      <c r="C178" s="67"/>
      <c r="D178" s="67"/>
    </row>
    <row r="179" spans="2:4">
      <c r="B179" s="67"/>
      <c r="C179" s="67"/>
      <c r="D179" s="67"/>
    </row>
    <row r="180" spans="2:4">
      <c r="B180" s="67"/>
      <c r="C180" s="67"/>
      <c r="D180" s="67"/>
    </row>
    <row r="181" spans="2:4">
      <c r="B181" s="67"/>
      <c r="C181" s="67"/>
      <c r="D181" s="67"/>
    </row>
    <row r="182" spans="2:4">
      <c r="B182" s="67"/>
      <c r="C182" s="67"/>
      <c r="D182" s="67"/>
    </row>
    <row r="183" spans="2:4">
      <c r="B183" s="67"/>
      <c r="C183" s="67"/>
      <c r="D183" s="67"/>
    </row>
    <row r="184" spans="2:4">
      <c r="B184" s="67"/>
      <c r="C184" s="67"/>
      <c r="D184" s="67"/>
    </row>
    <row r="185" spans="2:4">
      <c r="B185" s="67"/>
      <c r="C185" s="67"/>
      <c r="D185" s="67"/>
    </row>
    <row r="186" spans="2:4">
      <c r="B186" s="67"/>
      <c r="C186" s="67"/>
      <c r="D186" s="67"/>
    </row>
    <row r="187" spans="2:4">
      <c r="B187" s="67"/>
      <c r="C187" s="67"/>
      <c r="D187" s="67"/>
    </row>
    <row r="188" spans="2:4">
      <c r="B188" s="67"/>
      <c r="C188" s="67"/>
      <c r="D188" s="67"/>
    </row>
    <row r="189" spans="2:4">
      <c r="B189" s="67"/>
      <c r="C189" s="67"/>
      <c r="D189" s="67"/>
    </row>
    <row r="190" spans="2:4">
      <c r="B190" s="67"/>
      <c r="C190" s="67"/>
      <c r="D190" s="67"/>
    </row>
    <row r="191" spans="2:4">
      <c r="B191" s="67"/>
      <c r="C191" s="67"/>
      <c r="D191" s="67"/>
    </row>
    <row r="192" spans="2:4">
      <c r="B192" s="67"/>
      <c r="C192" s="67"/>
      <c r="D192" s="67"/>
    </row>
    <row r="193" spans="2:4">
      <c r="B193" s="67"/>
      <c r="C193" s="67"/>
      <c r="D193" s="67"/>
    </row>
    <row r="194" spans="2:4">
      <c r="B194" s="67"/>
      <c r="C194" s="67"/>
      <c r="D194" s="67"/>
    </row>
    <row r="195" spans="2:4">
      <c r="B195" s="67"/>
      <c r="C195" s="67"/>
      <c r="D195" s="67"/>
    </row>
    <row r="196" spans="2:4">
      <c r="B196" s="67"/>
      <c r="C196" s="67"/>
      <c r="D196" s="67"/>
    </row>
    <row r="197" spans="2:4">
      <c r="B197" s="67"/>
      <c r="C197" s="67"/>
      <c r="D197" s="67"/>
    </row>
    <row r="198" spans="2:4">
      <c r="B198" s="67"/>
      <c r="C198" s="67"/>
      <c r="D198" s="67"/>
    </row>
    <row r="199" spans="2:4">
      <c r="B199" s="67"/>
      <c r="C199" s="67"/>
      <c r="D199" s="67"/>
    </row>
    <row r="200" spans="2:4">
      <c r="B200" s="67"/>
      <c r="C200" s="67"/>
      <c r="D200" s="67"/>
    </row>
    <row r="201" spans="2:4">
      <c r="B201" s="67"/>
      <c r="C201" s="67"/>
      <c r="D201" s="67"/>
    </row>
    <row r="202" spans="2:4">
      <c r="B202" s="67"/>
      <c r="C202" s="67"/>
      <c r="D202" s="67"/>
    </row>
    <row r="203" spans="2:4">
      <c r="B203" s="67"/>
      <c r="C203" s="67"/>
      <c r="D203" s="67"/>
    </row>
    <row r="204" spans="2:4">
      <c r="B204" s="67"/>
      <c r="C204" s="67"/>
      <c r="D204" s="67"/>
    </row>
    <row r="205" spans="2:4">
      <c r="B205" s="67"/>
      <c r="C205" s="67"/>
      <c r="D205" s="67"/>
    </row>
    <row r="206" spans="2:4">
      <c r="B206" s="67"/>
      <c r="C206" s="67"/>
      <c r="D206" s="67"/>
    </row>
    <row r="207" spans="2:4">
      <c r="B207" s="67"/>
      <c r="C207" s="67"/>
      <c r="D207" s="67"/>
    </row>
    <row r="208" spans="2:4">
      <c r="B208" s="67"/>
      <c r="C208" s="67"/>
      <c r="D208" s="67"/>
    </row>
    <row r="209" spans="2:4">
      <c r="B209" s="67"/>
      <c r="C209" s="67"/>
      <c r="D209" s="67"/>
    </row>
    <row r="210" spans="2:4">
      <c r="B210" s="67"/>
      <c r="C210" s="67"/>
      <c r="D210" s="67"/>
    </row>
    <row r="211" spans="2:4">
      <c r="B211" s="67"/>
      <c r="C211" s="67"/>
      <c r="D211" s="67"/>
    </row>
    <row r="212" spans="2:4">
      <c r="B212" s="67"/>
      <c r="C212" s="67"/>
      <c r="D212" s="67"/>
    </row>
    <row r="213" spans="2:4">
      <c r="B213" s="67"/>
      <c r="C213" s="67"/>
      <c r="D213" s="67"/>
    </row>
    <row r="214" spans="2:4">
      <c r="B214" s="67"/>
      <c r="C214" s="67"/>
      <c r="D214" s="67"/>
    </row>
    <row r="215" spans="2:4">
      <c r="B215" s="67"/>
      <c r="C215" s="67"/>
      <c r="D215" s="67"/>
    </row>
    <row r="216" spans="2:4">
      <c r="B216" s="67"/>
      <c r="C216" s="67"/>
      <c r="D216" s="67"/>
    </row>
    <row r="217" spans="2:4">
      <c r="B217" s="67"/>
      <c r="C217" s="67"/>
      <c r="D217" s="67"/>
    </row>
    <row r="218" spans="2:4">
      <c r="B218" s="67"/>
      <c r="C218" s="67"/>
      <c r="D218" s="67"/>
    </row>
    <row r="219" spans="2:4">
      <c r="B219" s="67"/>
      <c r="C219" s="67"/>
      <c r="D219" s="67"/>
    </row>
    <row r="220" spans="2:4">
      <c r="B220" s="67"/>
      <c r="C220" s="67"/>
      <c r="D220" s="67"/>
    </row>
    <row r="221" spans="2:4">
      <c r="B221" s="67"/>
      <c r="C221" s="67"/>
      <c r="D221" s="67"/>
    </row>
    <row r="222" spans="2:4">
      <c r="B222" s="67"/>
      <c r="C222" s="67"/>
      <c r="D222" s="67"/>
    </row>
    <row r="223" spans="2:4">
      <c r="B223" s="67"/>
      <c r="C223" s="67"/>
      <c r="D223" s="67"/>
    </row>
    <row r="224" spans="2:4">
      <c r="B224" s="67"/>
      <c r="C224" s="67"/>
      <c r="D224" s="67"/>
    </row>
    <row r="225" spans="2:4">
      <c r="B225" s="67"/>
      <c r="C225" s="67"/>
      <c r="D225" s="67"/>
    </row>
    <row r="226" spans="2:4">
      <c r="B226" s="67"/>
      <c r="C226" s="67"/>
      <c r="D226" s="67"/>
    </row>
    <row r="227" spans="2:4">
      <c r="B227" s="67"/>
      <c r="C227" s="67"/>
      <c r="D227" s="67"/>
    </row>
    <row r="228" spans="2:4">
      <c r="B228" s="67"/>
      <c r="C228" s="67"/>
      <c r="D228" s="67"/>
    </row>
    <row r="229" spans="2:4">
      <c r="B229" s="67"/>
      <c r="C229" s="67"/>
      <c r="D229" s="67"/>
    </row>
    <row r="230" spans="2:4">
      <c r="B230" s="67"/>
      <c r="C230" s="67"/>
      <c r="D230" s="67"/>
    </row>
    <row r="231" spans="2:4">
      <c r="B231" s="67"/>
      <c r="C231" s="67"/>
      <c r="D231" s="67"/>
    </row>
    <row r="232" spans="2:4">
      <c r="B232" s="67"/>
      <c r="C232" s="67"/>
      <c r="D232" s="67"/>
    </row>
    <row r="233" spans="2:4">
      <c r="B233" s="67"/>
      <c r="C233" s="67"/>
      <c r="D233" s="67"/>
    </row>
    <row r="234" spans="2:4">
      <c r="B234" s="67"/>
      <c r="C234" s="67"/>
      <c r="D234" s="67"/>
    </row>
    <row r="235" spans="2:4">
      <c r="B235" s="67"/>
      <c r="C235" s="67"/>
      <c r="D235" s="67"/>
    </row>
    <row r="236" spans="2:4">
      <c r="B236" s="67"/>
      <c r="C236" s="67"/>
      <c r="D236" s="67"/>
    </row>
    <row r="237" spans="2:4">
      <c r="B237" s="67"/>
      <c r="C237" s="67"/>
      <c r="D237" s="67"/>
    </row>
    <row r="238" spans="2:4">
      <c r="B238" s="67"/>
      <c r="C238" s="67"/>
      <c r="D238" s="67"/>
    </row>
    <row r="239" spans="2:4">
      <c r="B239" s="67"/>
      <c r="C239" s="67"/>
      <c r="D239" s="67"/>
    </row>
    <row r="240" spans="2:4">
      <c r="B240" s="67"/>
      <c r="C240" s="67"/>
      <c r="D240" s="67"/>
    </row>
    <row r="241" spans="2:4">
      <c r="B241" s="67"/>
      <c r="C241" s="67"/>
      <c r="D241" s="67"/>
    </row>
    <row r="242" spans="2:4">
      <c r="B242" s="67"/>
      <c r="C242" s="67"/>
      <c r="D242" s="67"/>
    </row>
    <row r="243" spans="2:4">
      <c r="B243" s="67"/>
      <c r="C243" s="67"/>
      <c r="D243" s="67"/>
    </row>
    <row r="244" spans="2:4">
      <c r="B244" s="67"/>
      <c r="C244" s="67"/>
      <c r="D244" s="67"/>
    </row>
    <row r="245" spans="2:4">
      <c r="B245" s="67"/>
      <c r="C245" s="67"/>
      <c r="D245" s="67"/>
    </row>
    <row r="246" spans="2:4">
      <c r="B246" s="67"/>
      <c r="C246" s="67"/>
      <c r="D246" s="67"/>
    </row>
    <row r="247" spans="2:4">
      <c r="B247" s="67"/>
      <c r="C247" s="67"/>
      <c r="D247" s="67"/>
    </row>
    <row r="248" spans="2:4">
      <c r="B248" s="67"/>
      <c r="C248" s="67"/>
      <c r="D248" s="67"/>
    </row>
    <row r="249" spans="2:4">
      <c r="B249" s="67"/>
      <c r="C249" s="67"/>
      <c r="D249" s="67"/>
    </row>
    <row r="250" spans="2:4">
      <c r="B250" s="67"/>
      <c r="C250" s="67"/>
      <c r="D250" s="67"/>
    </row>
    <row r="251" spans="2:4">
      <c r="B251" s="67"/>
      <c r="C251" s="67"/>
      <c r="D251" s="67"/>
    </row>
    <row r="252" spans="2:4">
      <c r="B252" s="67"/>
      <c r="C252" s="67"/>
      <c r="D252" s="67"/>
    </row>
    <row r="253" spans="2:4">
      <c r="B253" s="67"/>
      <c r="C253" s="67"/>
      <c r="D253" s="67"/>
    </row>
    <row r="254" spans="2:4">
      <c r="B254" s="67"/>
      <c r="C254" s="67"/>
      <c r="D254" s="67"/>
    </row>
    <row r="255" spans="2:4">
      <c r="B255" s="67"/>
      <c r="C255" s="67"/>
      <c r="D255" s="67"/>
    </row>
    <row r="256" spans="2:4">
      <c r="B256" s="67"/>
      <c r="C256" s="67"/>
      <c r="D256" s="67"/>
    </row>
    <row r="257" spans="2:4">
      <c r="B257" s="67"/>
      <c r="C257" s="67"/>
      <c r="D257" s="67"/>
    </row>
    <row r="258" spans="2:4">
      <c r="B258" s="67"/>
      <c r="C258" s="67"/>
      <c r="D258" s="67"/>
    </row>
    <row r="259" spans="2:4">
      <c r="B259" s="67"/>
      <c r="C259" s="67"/>
      <c r="D259" s="67"/>
    </row>
    <row r="260" spans="2:4">
      <c r="B260" s="67"/>
      <c r="C260" s="67"/>
      <c r="D260" s="67"/>
    </row>
    <row r="261" spans="2:4">
      <c r="B261" s="67"/>
      <c r="C261" s="67"/>
      <c r="D261" s="67"/>
    </row>
    <row r="262" spans="2:4">
      <c r="B262" s="67"/>
      <c r="C262" s="67"/>
      <c r="D262" s="67"/>
    </row>
    <row r="263" spans="2:4">
      <c r="B263" s="67"/>
      <c r="C263" s="67"/>
      <c r="D263" s="67"/>
    </row>
    <row r="264" spans="2:4">
      <c r="B264" s="67"/>
      <c r="C264" s="67"/>
      <c r="D264" s="67"/>
    </row>
    <row r="265" spans="2:4">
      <c r="B265" s="67"/>
      <c r="C265" s="67"/>
      <c r="D265" s="67"/>
    </row>
    <row r="266" spans="2:4">
      <c r="B266" s="67"/>
      <c r="C266" s="67"/>
      <c r="D266" s="67"/>
    </row>
    <row r="267" spans="2:4">
      <c r="B267" s="67"/>
      <c r="C267" s="67"/>
      <c r="D267" s="67"/>
    </row>
    <row r="268" spans="2:4">
      <c r="B268" s="67"/>
      <c r="C268" s="67"/>
      <c r="D268" s="67"/>
    </row>
    <row r="269" spans="2:4">
      <c r="B269" s="67"/>
      <c r="C269" s="67"/>
      <c r="D269" s="67"/>
    </row>
    <row r="270" spans="2:4">
      <c r="B270" s="67"/>
      <c r="C270" s="67"/>
      <c r="D270" s="67"/>
    </row>
    <row r="271" spans="2:4">
      <c r="B271" s="67"/>
      <c r="C271" s="67"/>
      <c r="D271" s="67"/>
    </row>
    <row r="272" spans="2:4">
      <c r="B272" s="67"/>
      <c r="C272" s="67"/>
      <c r="D272" s="67"/>
    </row>
    <row r="273" spans="2:4">
      <c r="B273" s="67"/>
      <c r="C273" s="67"/>
      <c r="D273" s="67"/>
    </row>
    <row r="274" spans="2:4">
      <c r="B274" s="67"/>
      <c r="C274" s="67"/>
      <c r="D274" s="67"/>
    </row>
    <row r="275" spans="2:4">
      <c r="B275" s="67"/>
      <c r="C275" s="67"/>
      <c r="D275" s="67"/>
    </row>
    <row r="276" spans="2:4">
      <c r="B276" s="67"/>
      <c r="C276" s="67"/>
      <c r="D276" s="67"/>
    </row>
    <row r="277" spans="2:4">
      <c r="B277" s="67"/>
      <c r="C277" s="67"/>
      <c r="D277" s="67"/>
    </row>
    <row r="278" spans="2:4">
      <c r="B278" s="67"/>
      <c r="C278" s="67"/>
      <c r="D278" s="67"/>
    </row>
    <row r="279" spans="2:4">
      <c r="B279" s="67"/>
      <c r="C279" s="67"/>
      <c r="D279" s="67"/>
    </row>
    <row r="280" spans="2:4">
      <c r="B280" s="67"/>
      <c r="C280" s="67"/>
      <c r="D280" s="67"/>
    </row>
    <row r="281" spans="2:4">
      <c r="B281" s="67"/>
      <c r="C281" s="67"/>
      <c r="D281" s="67"/>
    </row>
    <row r="282" spans="2:4">
      <c r="B282" s="67"/>
      <c r="C282" s="67"/>
      <c r="D282" s="67"/>
    </row>
    <row r="283" spans="2:4">
      <c r="B283" s="67"/>
      <c r="C283" s="67"/>
      <c r="D283" s="67"/>
    </row>
    <row r="284" spans="2:4">
      <c r="B284" s="67"/>
      <c r="C284" s="67"/>
      <c r="D284" s="67"/>
    </row>
    <row r="285" spans="2:4">
      <c r="B285" s="67"/>
      <c r="C285" s="67"/>
      <c r="D285" s="67"/>
    </row>
    <row r="286" spans="2:4">
      <c r="B286" s="67"/>
      <c r="C286" s="67"/>
      <c r="D286" s="67"/>
    </row>
    <row r="287" spans="2:4">
      <c r="B287" s="67"/>
      <c r="C287" s="67"/>
      <c r="D287" s="67"/>
    </row>
    <row r="288" spans="2:4">
      <c r="B288" s="67"/>
      <c r="C288" s="67"/>
      <c r="D288" s="67"/>
    </row>
    <row r="289" spans="2:4">
      <c r="B289" s="67"/>
      <c r="C289" s="67"/>
      <c r="D289" s="67"/>
    </row>
    <row r="290" spans="2:4">
      <c r="B290" s="67"/>
      <c r="C290" s="67"/>
      <c r="D290" s="67"/>
    </row>
    <row r="291" spans="2:4">
      <c r="B291" s="67"/>
      <c r="C291" s="67"/>
      <c r="D291" s="67"/>
    </row>
    <row r="292" spans="2:4">
      <c r="B292" s="67"/>
      <c r="C292" s="67"/>
      <c r="D292" s="67"/>
    </row>
    <row r="293" spans="2:4">
      <c r="B293" s="67"/>
      <c r="C293" s="67"/>
      <c r="D293" s="67"/>
    </row>
    <row r="294" spans="2:4">
      <c r="B294" s="67"/>
      <c r="C294" s="67"/>
      <c r="D294" s="67"/>
    </row>
    <row r="295" spans="2:4">
      <c r="B295" s="67"/>
      <c r="C295" s="67"/>
      <c r="D295" s="67"/>
    </row>
    <row r="296" spans="2:4">
      <c r="B296" s="67"/>
      <c r="C296" s="67"/>
      <c r="D296" s="67"/>
    </row>
    <row r="297" spans="2:4">
      <c r="B297" s="67"/>
      <c r="C297" s="67"/>
      <c r="D297" s="67"/>
    </row>
    <row r="298" spans="2:4">
      <c r="B298" s="67"/>
      <c r="C298" s="67"/>
      <c r="D298" s="67"/>
    </row>
    <row r="299" spans="2:4">
      <c r="B299" s="67"/>
      <c r="C299" s="67"/>
      <c r="D299" s="67"/>
    </row>
    <row r="300" spans="2:4">
      <c r="B300" s="67"/>
      <c r="C300" s="67"/>
      <c r="D300" s="67"/>
    </row>
    <row r="301" spans="2:4">
      <c r="B301" s="67"/>
      <c r="C301" s="67"/>
      <c r="D301" s="67"/>
    </row>
    <row r="302" spans="2:4">
      <c r="B302" s="67"/>
      <c r="C302" s="67"/>
      <c r="D302" s="67"/>
    </row>
    <row r="303" spans="2:4">
      <c r="B303" s="67"/>
      <c r="C303" s="67"/>
      <c r="D303" s="67"/>
    </row>
    <row r="304" spans="2:4">
      <c r="B304" s="67"/>
      <c r="C304" s="67"/>
      <c r="D304" s="67"/>
    </row>
    <row r="305" spans="2:4">
      <c r="B305" s="67"/>
      <c r="C305" s="67"/>
      <c r="D305" s="67"/>
    </row>
    <row r="306" spans="2:4">
      <c r="B306" s="67"/>
      <c r="C306" s="67"/>
      <c r="D306" s="67"/>
    </row>
    <row r="307" spans="2:4">
      <c r="B307" s="67"/>
      <c r="C307" s="67"/>
      <c r="D307" s="67"/>
    </row>
    <row r="308" spans="2:4">
      <c r="B308" s="67"/>
      <c r="C308" s="67"/>
      <c r="D308" s="67"/>
    </row>
    <row r="309" spans="2:4">
      <c r="B309" s="67"/>
      <c r="C309" s="67"/>
      <c r="D309" s="67"/>
    </row>
    <row r="310" spans="2:4">
      <c r="B310" s="67"/>
      <c r="C310" s="67"/>
      <c r="D310" s="67"/>
    </row>
    <row r="311" spans="2:4">
      <c r="B311" s="67"/>
      <c r="C311" s="67"/>
      <c r="D311" s="67"/>
    </row>
    <row r="312" spans="2:4">
      <c r="B312" s="67"/>
      <c r="C312" s="67"/>
      <c r="D312" s="67"/>
    </row>
    <row r="313" spans="2:4">
      <c r="B313" s="67"/>
      <c r="C313" s="67"/>
      <c r="D313" s="67"/>
    </row>
    <row r="314" spans="2:4">
      <c r="B314" s="67"/>
      <c r="C314" s="67"/>
      <c r="D314" s="67"/>
    </row>
    <row r="315" spans="2:4">
      <c r="B315" s="67"/>
      <c r="C315" s="67"/>
      <c r="D315" s="67"/>
    </row>
    <row r="316" spans="2:4">
      <c r="B316" s="67"/>
      <c r="C316" s="67"/>
      <c r="D316" s="67"/>
    </row>
    <row r="317" spans="2:4">
      <c r="B317" s="67"/>
      <c r="C317" s="67"/>
      <c r="D317" s="67"/>
    </row>
    <row r="318" spans="2:4">
      <c r="B318" s="67"/>
      <c r="C318" s="67"/>
      <c r="D318" s="67"/>
    </row>
    <row r="319" spans="2:4">
      <c r="B319" s="67"/>
      <c r="C319" s="67"/>
      <c r="D319" s="67"/>
    </row>
    <row r="320" spans="2:4">
      <c r="B320" s="67"/>
      <c r="C320" s="67"/>
      <c r="D320" s="67"/>
    </row>
    <row r="321" spans="2:4">
      <c r="B321" s="67"/>
      <c r="C321" s="67"/>
      <c r="D321" s="67"/>
    </row>
    <row r="322" spans="2:4">
      <c r="B322" s="67"/>
      <c r="C322" s="67"/>
      <c r="D322" s="67"/>
    </row>
    <row r="323" spans="2:4">
      <c r="B323" s="67"/>
      <c r="C323" s="67"/>
      <c r="D323" s="67"/>
    </row>
    <row r="324" spans="2:4">
      <c r="B324" s="67"/>
      <c r="C324" s="67"/>
      <c r="D324" s="67"/>
    </row>
    <row r="325" spans="2:4">
      <c r="B325" s="67"/>
      <c r="C325" s="67"/>
      <c r="D325" s="67"/>
    </row>
    <row r="326" spans="2:4">
      <c r="B326" s="67"/>
      <c r="C326" s="67"/>
      <c r="D326" s="67"/>
    </row>
    <row r="327" spans="2:4">
      <c r="B327" s="67"/>
      <c r="C327" s="67"/>
      <c r="D327" s="67"/>
    </row>
    <row r="328" spans="2:4">
      <c r="B328" s="67"/>
      <c r="C328" s="67"/>
      <c r="D328" s="67"/>
    </row>
    <row r="329" spans="2:4">
      <c r="B329" s="67"/>
      <c r="C329" s="67"/>
      <c r="D329" s="67"/>
    </row>
    <row r="330" spans="2:4">
      <c r="B330" s="67"/>
      <c r="C330" s="67"/>
      <c r="D330" s="67"/>
    </row>
    <row r="331" spans="2:4">
      <c r="B331" s="67"/>
      <c r="C331" s="67"/>
      <c r="D331" s="67"/>
    </row>
    <row r="332" spans="2:4">
      <c r="B332" s="67"/>
      <c r="C332" s="67"/>
      <c r="D332" s="67"/>
    </row>
    <row r="333" spans="2:4">
      <c r="B333" s="67"/>
      <c r="C333" s="67"/>
      <c r="D333" s="67"/>
    </row>
    <row r="334" spans="2:4">
      <c r="B334" s="67"/>
      <c r="C334" s="67"/>
      <c r="D334" s="67"/>
    </row>
    <row r="335" spans="2:4">
      <c r="B335" s="67"/>
      <c r="C335" s="67"/>
      <c r="D335" s="67"/>
    </row>
    <row r="336" spans="2:4">
      <c r="B336" s="67"/>
      <c r="C336" s="67"/>
      <c r="D336" s="67"/>
    </row>
    <row r="337" spans="2:4">
      <c r="B337" s="67"/>
      <c r="C337" s="67"/>
      <c r="D337" s="67"/>
    </row>
    <row r="338" spans="2:4">
      <c r="B338" s="67"/>
      <c r="C338" s="67"/>
      <c r="D338" s="67"/>
    </row>
    <row r="339" spans="2:4">
      <c r="B339" s="67"/>
      <c r="C339" s="67"/>
      <c r="D339" s="67"/>
    </row>
    <row r="340" spans="2:4">
      <c r="B340" s="67"/>
      <c r="C340" s="67"/>
      <c r="D340" s="67"/>
    </row>
    <row r="341" spans="2:4">
      <c r="B341" s="67"/>
      <c r="C341" s="67"/>
      <c r="D341" s="67"/>
    </row>
    <row r="342" spans="2:4">
      <c r="B342" s="67"/>
      <c r="C342" s="67"/>
      <c r="D342" s="67"/>
    </row>
    <row r="343" spans="2:4">
      <c r="B343" s="67"/>
      <c r="C343" s="67"/>
      <c r="D343" s="67"/>
    </row>
    <row r="344" spans="2:4">
      <c r="B344" s="67"/>
      <c r="C344" s="67"/>
      <c r="D344" s="67"/>
    </row>
    <row r="345" spans="2:4">
      <c r="B345" s="67"/>
      <c r="C345" s="67"/>
      <c r="D345" s="67"/>
    </row>
    <row r="346" spans="2:4">
      <c r="B346" s="67"/>
      <c r="C346" s="67"/>
      <c r="D346" s="67"/>
    </row>
    <row r="347" spans="2:4">
      <c r="B347" s="67"/>
      <c r="C347" s="67"/>
      <c r="D347" s="67"/>
    </row>
    <row r="348" spans="2:4">
      <c r="B348" s="67"/>
      <c r="C348" s="67"/>
      <c r="D348" s="67"/>
    </row>
    <row r="349" spans="2:4">
      <c r="B349" s="67"/>
      <c r="C349" s="67"/>
      <c r="D349" s="67"/>
    </row>
    <row r="350" spans="2:4">
      <c r="B350" s="67"/>
      <c r="C350" s="67"/>
      <c r="D350" s="67"/>
    </row>
    <row r="351" spans="2:4">
      <c r="B351" s="67"/>
      <c r="C351" s="67"/>
      <c r="D351" s="67"/>
    </row>
    <row r="352" spans="2:4">
      <c r="B352" s="67"/>
      <c r="C352" s="67"/>
      <c r="D352" s="67"/>
    </row>
    <row r="353" spans="2:4">
      <c r="B353" s="67"/>
      <c r="C353" s="67"/>
      <c r="D353" s="67"/>
    </row>
    <row r="354" spans="2:4">
      <c r="B354" s="67"/>
      <c r="C354" s="67"/>
      <c r="D354" s="67"/>
    </row>
    <row r="355" spans="2:4">
      <c r="B355" s="67"/>
      <c r="C355" s="67"/>
      <c r="D355" s="67"/>
    </row>
    <row r="356" spans="2:4">
      <c r="B356" s="67"/>
      <c r="C356" s="67"/>
      <c r="D356" s="67"/>
    </row>
    <row r="357" spans="2:4">
      <c r="B357" s="67"/>
      <c r="C357" s="67"/>
      <c r="D357" s="67"/>
    </row>
    <row r="358" spans="2:4">
      <c r="B358" s="67"/>
      <c r="C358" s="67"/>
      <c r="D358" s="67"/>
    </row>
    <row r="359" spans="2:4">
      <c r="B359" s="67"/>
      <c r="C359" s="67"/>
      <c r="D359" s="67"/>
    </row>
    <row r="360" spans="2:4">
      <c r="B360" s="67"/>
      <c r="C360" s="67"/>
      <c r="D360" s="67"/>
    </row>
    <row r="361" spans="2:4">
      <c r="B361" s="67"/>
      <c r="C361" s="67"/>
      <c r="D361" s="67"/>
    </row>
    <row r="362" spans="2:4">
      <c r="B362" s="67"/>
      <c r="C362" s="67"/>
      <c r="D362" s="67"/>
    </row>
    <row r="363" spans="2:4">
      <c r="B363" s="67"/>
      <c r="C363" s="67"/>
      <c r="D363" s="67"/>
    </row>
    <row r="364" spans="2:4">
      <c r="B364" s="67"/>
      <c r="C364" s="67"/>
      <c r="D364" s="67"/>
    </row>
    <row r="365" spans="2:4">
      <c r="B365" s="67"/>
      <c r="C365" s="67"/>
      <c r="D365" s="67"/>
    </row>
    <row r="366" spans="2:4">
      <c r="B366" s="67"/>
      <c r="C366" s="67"/>
      <c r="D366" s="67"/>
    </row>
    <row r="367" spans="2:4">
      <c r="B367" s="67"/>
      <c r="C367" s="67"/>
      <c r="D367" s="67"/>
    </row>
    <row r="368" spans="2:4">
      <c r="B368" s="67"/>
      <c r="C368" s="67"/>
      <c r="D368" s="67"/>
    </row>
    <row r="369" spans="2:4">
      <c r="B369" s="67"/>
      <c r="C369" s="67"/>
      <c r="D369" s="67"/>
    </row>
    <row r="370" spans="2:4">
      <c r="B370" s="67"/>
      <c r="C370" s="67"/>
      <c r="D370" s="67"/>
    </row>
    <row r="371" spans="2:4">
      <c r="B371" s="67"/>
      <c r="C371" s="67"/>
      <c r="D371" s="67"/>
    </row>
    <row r="372" spans="2:4">
      <c r="B372" s="67"/>
      <c r="C372" s="67"/>
      <c r="D372" s="67"/>
    </row>
    <row r="373" spans="2:4">
      <c r="B373" s="67"/>
      <c r="C373" s="67"/>
      <c r="D373" s="67"/>
    </row>
    <row r="374" spans="2:4">
      <c r="B374" s="67"/>
      <c r="C374" s="67"/>
      <c r="D374" s="67"/>
    </row>
    <row r="375" spans="2:4">
      <c r="B375" s="67"/>
      <c r="C375" s="67"/>
      <c r="D375" s="67"/>
    </row>
    <row r="376" spans="2:4">
      <c r="B376" s="67"/>
      <c r="C376" s="67"/>
      <c r="D376" s="67"/>
    </row>
    <row r="377" spans="2:4">
      <c r="B377" s="67"/>
      <c r="C377" s="67"/>
      <c r="D377" s="67"/>
    </row>
    <row r="378" spans="2:4">
      <c r="B378" s="67"/>
      <c r="C378" s="67"/>
      <c r="D378" s="67"/>
    </row>
    <row r="379" spans="2:4">
      <c r="B379" s="67"/>
      <c r="C379" s="67"/>
      <c r="D379" s="67"/>
    </row>
    <row r="380" spans="2:4">
      <c r="B380" s="67"/>
      <c r="C380" s="67"/>
      <c r="D380" s="67"/>
    </row>
    <row r="381" spans="2:4">
      <c r="B381" s="67"/>
      <c r="C381" s="67"/>
      <c r="D381" s="67"/>
    </row>
    <row r="382" spans="2:4">
      <c r="B382" s="67"/>
      <c r="C382" s="67"/>
      <c r="D382" s="67"/>
    </row>
    <row r="383" spans="2:4">
      <c r="B383" s="67"/>
      <c r="C383" s="67"/>
      <c r="D383" s="67"/>
    </row>
    <row r="384" spans="2:4">
      <c r="B384" s="67"/>
      <c r="C384" s="67"/>
      <c r="D384" s="67"/>
    </row>
    <row r="385" spans="2:4">
      <c r="B385" s="67"/>
      <c r="C385" s="67"/>
      <c r="D385" s="67"/>
    </row>
    <row r="386" spans="2:4">
      <c r="B386" s="67"/>
      <c r="C386" s="67"/>
      <c r="D386" s="67"/>
    </row>
    <row r="387" spans="2:4">
      <c r="B387" s="67"/>
      <c r="C387" s="67"/>
      <c r="D387" s="67"/>
    </row>
    <row r="388" spans="2:4">
      <c r="B388" s="67"/>
      <c r="C388" s="67"/>
      <c r="D388" s="67"/>
    </row>
    <row r="389" spans="2:4">
      <c r="B389" s="67"/>
      <c r="C389" s="67"/>
      <c r="D389" s="67"/>
    </row>
    <row r="390" spans="2:4">
      <c r="B390" s="67"/>
      <c r="C390" s="67"/>
      <c r="D390" s="67"/>
    </row>
    <row r="391" spans="2:4">
      <c r="B391" s="67"/>
      <c r="C391" s="67"/>
      <c r="D391" s="67"/>
    </row>
    <row r="392" spans="2:4">
      <c r="B392" s="67"/>
      <c r="C392" s="67"/>
      <c r="D392" s="67"/>
    </row>
    <row r="393" spans="2:4">
      <c r="B393" s="67"/>
      <c r="C393" s="67"/>
      <c r="D393" s="67"/>
    </row>
    <row r="394" spans="2:4">
      <c r="B394" s="67"/>
      <c r="C394" s="67"/>
      <c r="D394" s="67"/>
    </row>
    <row r="395" spans="2:4">
      <c r="B395" s="67"/>
      <c r="C395" s="67"/>
      <c r="D395" s="67"/>
    </row>
    <row r="396" spans="2:4">
      <c r="B396" s="67"/>
      <c r="C396" s="67"/>
      <c r="D396" s="67"/>
    </row>
    <row r="397" spans="2:4">
      <c r="B397" s="67"/>
      <c r="C397" s="67"/>
      <c r="D397" s="67"/>
    </row>
    <row r="398" spans="2:4">
      <c r="B398" s="67"/>
      <c r="C398" s="67"/>
      <c r="D398" s="67"/>
    </row>
    <row r="399" spans="2:4">
      <c r="B399" s="67"/>
      <c r="C399" s="67"/>
      <c r="D399" s="67"/>
    </row>
    <row r="400" spans="2:4">
      <c r="B400" s="67"/>
      <c r="C400" s="67"/>
      <c r="D400" s="67"/>
    </row>
    <row r="401" spans="2:4">
      <c r="B401" s="67"/>
      <c r="C401" s="67"/>
      <c r="D401" s="67"/>
    </row>
    <row r="402" spans="2:4">
      <c r="B402" s="67"/>
      <c r="C402" s="67"/>
      <c r="D402" s="67"/>
    </row>
    <row r="403" spans="2:4">
      <c r="B403" s="67"/>
      <c r="C403" s="67"/>
      <c r="D403" s="67"/>
    </row>
    <row r="404" spans="2:4">
      <c r="B404" s="67"/>
      <c r="C404" s="67"/>
      <c r="D404" s="67"/>
    </row>
    <row r="405" spans="2:4">
      <c r="B405" s="67"/>
      <c r="C405" s="67"/>
      <c r="D405" s="67"/>
    </row>
    <row r="406" spans="2:4">
      <c r="B406" s="67"/>
      <c r="C406" s="67"/>
      <c r="D406" s="67"/>
    </row>
    <row r="407" spans="2:4">
      <c r="B407" s="67"/>
      <c r="C407" s="67"/>
      <c r="D407" s="67"/>
    </row>
    <row r="408" spans="2:4">
      <c r="B408" s="67"/>
      <c r="C408" s="67"/>
      <c r="D408" s="67"/>
    </row>
    <row r="409" spans="2:4">
      <c r="B409" s="67"/>
      <c r="C409" s="67"/>
      <c r="D409" s="67"/>
    </row>
    <row r="410" spans="2:4">
      <c r="B410" s="67"/>
      <c r="C410" s="67"/>
      <c r="D410" s="67"/>
    </row>
    <row r="411" spans="2:4">
      <c r="B411" s="67"/>
      <c r="C411" s="67"/>
      <c r="D411" s="67"/>
    </row>
    <row r="412" spans="2:4">
      <c r="B412" s="67"/>
      <c r="C412" s="67"/>
      <c r="D412" s="67"/>
    </row>
    <row r="413" spans="2:4">
      <c r="B413" s="67"/>
      <c r="C413" s="67"/>
      <c r="D413" s="67"/>
    </row>
    <row r="414" spans="2:4">
      <c r="B414" s="67"/>
      <c r="C414" s="67"/>
      <c r="D414" s="67"/>
    </row>
    <row r="415" spans="2:4">
      <c r="B415" s="67"/>
      <c r="C415" s="67"/>
      <c r="D415" s="67"/>
    </row>
    <row r="416" spans="2:4">
      <c r="B416" s="67"/>
      <c r="C416" s="67"/>
      <c r="D416" s="67"/>
    </row>
    <row r="417" spans="2:4">
      <c r="B417" s="67"/>
      <c r="C417" s="67"/>
      <c r="D417" s="67"/>
    </row>
    <row r="418" spans="2:4">
      <c r="B418" s="67"/>
      <c r="C418" s="67"/>
      <c r="D418" s="67"/>
    </row>
    <row r="419" spans="2:4">
      <c r="B419" s="67"/>
      <c r="C419" s="67"/>
      <c r="D419" s="67"/>
    </row>
    <row r="420" spans="2:4">
      <c r="B420" s="67"/>
      <c r="C420" s="67"/>
      <c r="D420" s="67"/>
    </row>
    <row r="421" spans="2:4">
      <c r="B421" s="67"/>
      <c r="C421" s="67"/>
      <c r="D421" s="67"/>
    </row>
    <row r="422" spans="2:4">
      <c r="B422" s="67"/>
      <c r="C422" s="67"/>
      <c r="D422" s="67"/>
    </row>
    <row r="423" spans="2:4">
      <c r="B423" s="67"/>
      <c r="C423" s="67"/>
      <c r="D423" s="67"/>
    </row>
    <row r="424" spans="2:4">
      <c r="B424" s="67"/>
      <c r="C424" s="67"/>
      <c r="D424" s="67"/>
    </row>
    <row r="425" spans="2:4">
      <c r="B425" s="67"/>
      <c r="C425" s="67"/>
      <c r="D425" s="67"/>
    </row>
    <row r="426" spans="2:4">
      <c r="B426" s="67"/>
      <c r="C426" s="67"/>
      <c r="D426" s="67"/>
    </row>
    <row r="427" spans="2:4">
      <c r="B427" s="67"/>
      <c r="C427" s="67"/>
      <c r="D427" s="67"/>
    </row>
    <row r="428" spans="2:4">
      <c r="B428" s="67"/>
      <c r="C428" s="67"/>
      <c r="D428" s="67"/>
    </row>
    <row r="429" spans="2:4">
      <c r="B429" s="67"/>
      <c r="C429" s="67"/>
      <c r="D429" s="67"/>
    </row>
    <row r="430" spans="2:4">
      <c r="B430" s="67"/>
      <c r="C430" s="67"/>
      <c r="D430" s="67"/>
    </row>
    <row r="431" spans="2:4">
      <c r="B431" s="67"/>
      <c r="C431" s="67"/>
      <c r="D431" s="67"/>
    </row>
    <row r="432" spans="2:4">
      <c r="B432" s="67"/>
      <c r="C432" s="67"/>
      <c r="D432" s="67"/>
    </row>
    <row r="433" spans="2:4">
      <c r="B433" s="67"/>
      <c r="C433" s="67"/>
      <c r="D433" s="67"/>
    </row>
    <row r="434" spans="2:4">
      <c r="B434" s="67"/>
      <c r="C434" s="67"/>
      <c r="D434" s="67"/>
    </row>
    <row r="435" spans="2:4">
      <c r="B435" s="67"/>
      <c r="C435" s="67"/>
      <c r="D435" s="67"/>
    </row>
    <row r="436" spans="2:4">
      <c r="B436" s="67"/>
      <c r="C436" s="67"/>
      <c r="D436" s="67"/>
    </row>
    <row r="437" spans="2:4">
      <c r="B437" s="67"/>
      <c r="C437" s="67"/>
      <c r="D437" s="67"/>
    </row>
    <row r="438" spans="2:4">
      <c r="B438" s="67"/>
      <c r="C438" s="67"/>
      <c r="D438" s="67"/>
    </row>
    <row r="439" spans="2:4">
      <c r="B439" s="67"/>
      <c r="C439" s="67"/>
      <c r="D439" s="67"/>
    </row>
    <row r="440" spans="2:4">
      <c r="B440" s="67"/>
      <c r="C440" s="67"/>
      <c r="D440" s="67"/>
    </row>
    <row r="441" spans="2:4">
      <c r="B441" s="67"/>
      <c r="C441" s="67"/>
      <c r="D441" s="67"/>
    </row>
    <row r="442" spans="2:4">
      <c r="B442" s="67"/>
      <c r="C442" s="67"/>
      <c r="D442" s="67"/>
    </row>
    <row r="443" spans="2:4">
      <c r="B443" s="67"/>
      <c r="C443" s="67"/>
      <c r="D443" s="67"/>
    </row>
    <row r="444" spans="2:4">
      <c r="B444" s="67"/>
      <c r="C444" s="67"/>
      <c r="D444" s="67"/>
    </row>
    <row r="445" spans="2:4">
      <c r="B445" s="67"/>
      <c r="C445" s="67"/>
      <c r="D445" s="67"/>
    </row>
    <row r="446" spans="2:4">
      <c r="B446" s="67"/>
      <c r="C446" s="67"/>
      <c r="D446" s="67"/>
    </row>
    <row r="447" spans="2:4">
      <c r="B447" s="67"/>
      <c r="C447" s="67"/>
      <c r="D447" s="67"/>
    </row>
    <row r="448" spans="2:4">
      <c r="B448" s="67"/>
      <c r="C448" s="67"/>
      <c r="D448" s="67"/>
    </row>
    <row r="449" spans="2:4">
      <c r="B449" s="67"/>
      <c r="C449" s="67"/>
      <c r="D449" s="67"/>
    </row>
    <row r="450" spans="2:4">
      <c r="B450" s="67"/>
      <c r="C450" s="67"/>
      <c r="D450" s="67"/>
    </row>
    <row r="451" spans="2:4">
      <c r="B451" s="67"/>
      <c r="C451" s="67"/>
      <c r="D451" s="67"/>
    </row>
    <row r="452" spans="2:4">
      <c r="B452" s="67"/>
      <c r="C452" s="67"/>
      <c r="D452" s="67"/>
    </row>
    <row r="453" spans="2:4">
      <c r="B453" s="67"/>
      <c r="C453" s="67"/>
      <c r="D453" s="67"/>
    </row>
    <row r="454" spans="2:4">
      <c r="B454" s="67"/>
      <c r="C454" s="67"/>
      <c r="D454" s="67"/>
    </row>
    <row r="455" spans="2:4">
      <c r="B455" s="67"/>
      <c r="C455" s="67"/>
      <c r="D455" s="67"/>
    </row>
    <row r="456" spans="2:4">
      <c r="B456" s="67"/>
      <c r="C456" s="67"/>
      <c r="D456" s="67"/>
    </row>
    <row r="457" spans="2:4">
      <c r="B457" s="67"/>
      <c r="C457" s="67"/>
      <c r="D457" s="67"/>
    </row>
    <row r="458" spans="2:4">
      <c r="B458" s="67"/>
      <c r="C458" s="67"/>
      <c r="D458" s="67"/>
    </row>
    <row r="459" spans="2:4">
      <c r="B459" s="67"/>
      <c r="C459" s="67"/>
      <c r="D459" s="67"/>
    </row>
    <row r="460" spans="2:4">
      <c r="B460" s="67"/>
      <c r="C460" s="67"/>
      <c r="D460" s="67"/>
    </row>
    <row r="461" spans="2:4">
      <c r="B461" s="67"/>
      <c r="C461" s="67"/>
      <c r="D461" s="67"/>
    </row>
    <row r="462" spans="2:4">
      <c r="B462" s="67"/>
      <c r="C462" s="67"/>
      <c r="D462" s="67"/>
    </row>
    <row r="463" spans="2:4">
      <c r="B463" s="67"/>
      <c r="C463" s="67"/>
      <c r="D463" s="67"/>
    </row>
    <row r="464" spans="2:4">
      <c r="B464" s="67"/>
      <c r="C464" s="67"/>
      <c r="D464" s="67"/>
    </row>
    <row r="465" spans="2:4">
      <c r="B465" s="67"/>
      <c r="C465" s="67"/>
      <c r="D465" s="67"/>
    </row>
    <row r="466" spans="2:4">
      <c r="B466" s="67"/>
      <c r="C466" s="67"/>
      <c r="D466" s="67"/>
    </row>
    <row r="467" spans="2:4">
      <c r="B467" s="67"/>
      <c r="C467" s="67"/>
      <c r="D467" s="67"/>
    </row>
    <row r="468" spans="2:4">
      <c r="B468" s="67"/>
      <c r="C468" s="67"/>
      <c r="D468" s="67"/>
    </row>
    <row r="469" spans="2:4">
      <c r="B469" s="67"/>
      <c r="C469" s="67"/>
      <c r="D469" s="67"/>
    </row>
    <row r="470" spans="2:4">
      <c r="B470" s="67"/>
      <c r="C470" s="67"/>
      <c r="D470" s="67"/>
    </row>
    <row r="471" spans="2:4">
      <c r="B471" s="67"/>
      <c r="C471" s="67"/>
      <c r="D471" s="67"/>
    </row>
    <row r="472" spans="2:4">
      <c r="B472" s="67"/>
      <c r="C472" s="67"/>
      <c r="D472" s="67"/>
    </row>
    <row r="473" spans="2:4">
      <c r="B473" s="67"/>
      <c r="C473" s="67"/>
      <c r="D473" s="67"/>
    </row>
    <row r="474" spans="2:4">
      <c r="B474" s="67"/>
      <c r="C474" s="67"/>
      <c r="D474" s="67"/>
    </row>
    <row r="475" spans="2:4">
      <c r="B475" s="67"/>
      <c r="C475" s="67"/>
      <c r="D475" s="67"/>
    </row>
    <row r="476" spans="2:4">
      <c r="B476" s="67"/>
      <c r="C476" s="67"/>
      <c r="D476" s="67"/>
    </row>
    <row r="477" spans="2:4">
      <c r="B477" s="67"/>
      <c r="C477" s="67"/>
      <c r="D477" s="67"/>
    </row>
    <row r="478" spans="2:4">
      <c r="B478" s="67"/>
      <c r="C478" s="67"/>
      <c r="D478" s="67"/>
    </row>
    <row r="479" spans="2:4">
      <c r="B479" s="67"/>
      <c r="C479" s="67"/>
      <c r="D479" s="67"/>
    </row>
    <row r="480" spans="2:4">
      <c r="B480" s="67"/>
      <c r="C480" s="67"/>
      <c r="D480" s="67"/>
    </row>
    <row r="481" spans="2:4">
      <c r="B481" s="67"/>
      <c r="C481" s="67"/>
      <c r="D481" s="67"/>
    </row>
    <row r="482" spans="2:4">
      <c r="B482" s="67"/>
      <c r="C482" s="67"/>
      <c r="D482" s="67"/>
    </row>
    <row r="483" spans="2:4">
      <c r="B483" s="67"/>
      <c r="C483" s="67"/>
      <c r="D483" s="67"/>
    </row>
    <row r="484" spans="2:4">
      <c r="B484" s="67"/>
      <c r="C484" s="67"/>
      <c r="D484" s="67"/>
    </row>
    <row r="485" spans="2:4">
      <c r="B485" s="67"/>
      <c r="C485" s="67"/>
      <c r="D485" s="67"/>
    </row>
    <row r="486" spans="2:4">
      <c r="B486" s="67"/>
      <c r="C486" s="67"/>
      <c r="D486" s="67"/>
    </row>
    <row r="487" spans="2:4">
      <c r="B487" s="67"/>
      <c r="C487" s="67"/>
      <c r="D487" s="67"/>
    </row>
    <row r="488" spans="2:4">
      <c r="B488" s="67"/>
      <c r="C488" s="67"/>
      <c r="D488" s="67"/>
    </row>
    <row r="489" spans="2:4">
      <c r="B489" s="67"/>
      <c r="C489" s="67"/>
      <c r="D489" s="67"/>
    </row>
    <row r="490" spans="2:4">
      <c r="B490" s="67"/>
      <c r="C490" s="67"/>
      <c r="D490" s="67"/>
    </row>
    <row r="491" spans="2:4">
      <c r="B491" s="67"/>
      <c r="C491" s="67"/>
      <c r="D491" s="67"/>
    </row>
    <row r="492" spans="2:4">
      <c r="B492" s="67"/>
      <c r="C492" s="67"/>
      <c r="D492" s="67"/>
    </row>
    <row r="493" spans="2:4">
      <c r="B493" s="67"/>
      <c r="C493" s="67"/>
      <c r="D493" s="67"/>
    </row>
    <row r="494" spans="2:4">
      <c r="B494" s="67"/>
      <c r="C494" s="67"/>
      <c r="D494" s="67"/>
    </row>
    <row r="495" spans="2:4">
      <c r="B495" s="67"/>
      <c r="C495" s="67"/>
      <c r="D495" s="67"/>
    </row>
    <row r="496" spans="2:4">
      <c r="B496" s="67"/>
      <c r="C496" s="67"/>
      <c r="D496" s="67"/>
    </row>
    <row r="497" spans="2:4">
      <c r="B497" s="67"/>
      <c r="C497" s="67"/>
      <c r="D497" s="67"/>
    </row>
    <row r="498" spans="2:4">
      <c r="B498" s="67"/>
      <c r="C498" s="67"/>
      <c r="D498" s="67"/>
    </row>
    <row r="499" spans="2:4">
      <c r="B499" s="67"/>
      <c r="C499" s="67"/>
      <c r="D499" s="67"/>
    </row>
    <row r="500" spans="2:4">
      <c r="B500" s="67"/>
      <c r="C500" s="67"/>
      <c r="D500" s="67"/>
    </row>
    <row r="501" spans="2:4">
      <c r="B501" s="67"/>
      <c r="C501" s="67"/>
      <c r="D501" s="67"/>
    </row>
    <row r="502" spans="2:4">
      <c r="B502" s="67"/>
      <c r="C502" s="67"/>
      <c r="D502" s="67"/>
    </row>
    <row r="503" spans="2:4">
      <c r="B503" s="67"/>
      <c r="C503" s="67"/>
      <c r="D503" s="67"/>
    </row>
    <row r="504" spans="2:4">
      <c r="B504" s="67"/>
      <c r="C504" s="67"/>
      <c r="D504" s="67"/>
    </row>
    <row r="505" spans="2:4">
      <c r="B505" s="67"/>
      <c r="C505" s="67"/>
      <c r="D505" s="67"/>
    </row>
    <row r="506" spans="2:4">
      <c r="B506" s="67"/>
      <c r="C506" s="67"/>
      <c r="D506" s="67"/>
    </row>
    <row r="507" spans="2:4">
      <c r="B507" s="67"/>
      <c r="C507" s="67"/>
      <c r="D507" s="67"/>
    </row>
    <row r="508" spans="2:4">
      <c r="B508" s="67"/>
      <c r="C508" s="67"/>
      <c r="D508" s="67"/>
    </row>
    <row r="509" spans="2:4">
      <c r="B509" s="67"/>
      <c r="C509" s="67"/>
      <c r="D509" s="67"/>
    </row>
    <row r="510" spans="2:4">
      <c r="B510" s="67"/>
      <c r="C510" s="67"/>
      <c r="D510" s="67"/>
    </row>
    <row r="511" spans="2:4">
      <c r="B511" s="67"/>
      <c r="C511" s="67"/>
      <c r="D511" s="67"/>
    </row>
    <row r="512" spans="2:4">
      <c r="B512" s="67"/>
      <c r="C512" s="67"/>
      <c r="D512" s="67"/>
    </row>
    <row r="513" spans="2:4">
      <c r="B513" s="67"/>
      <c r="C513" s="67"/>
      <c r="D513" s="67"/>
    </row>
    <row r="514" spans="2:4">
      <c r="B514" s="67"/>
      <c r="C514" s="67"/>
      <c r="D514" s="67"/>
    </row>
    <row r="515" spans="2:4">
      <c r="B515" s="67"/>
      <c r="C515" s="67"/>
      <c r="D515" s="67"/>
    </row>
    <row r="516" spans="2:4">
      <c r="B516" s="67"/>
      <c r="C516" s="67"/>
      <c r="D516" s="67"/>
    </row>
    <row r="517" spans="2:4">
      <c r="B517" s="67"/>
      <c r="C517" s="67"/>
      <c r="D517" s="67"/>
    </row>
    <row r="518" spans="2:4">
      <c r="B518" s="67"/>
      <c r="C518" s="67"/>
      <c r="D518" s="67"/>
    </row>
    <row r="519" spans="2:4">
      <c r="B519" s="67"/>
      <c r="C519" s="67"/>
      <c r="D519" s="67"/>
    </row>
    <row r="520" spans="2:4">
      <c r="B520" s="67"/>
      <c r="C520" s="67"/>
      <c r="D520" s="67"/>
    </row>
    <row r="521" spans="2:4">
      <c r="B521" s="67"/>
      <c r="C521" s="67"/>
      <c r="D521" s="67"/>
    </row>
    <row r="522" spans="2:4">
      <c r="B522" s="67"/>
      <c r="C522" s="67"/>
      <c r="D522" s="67"/>
    </row>
    <row r="523" spans="2:4">
      <c r="B523" s="67"/>
      <c r="C523" s="67"/>
      <c r="D523" s="67"/>
    </row>
    <row r="524" spans="2:4">
      <c r="B524" s="67"/>
      <c r="C524" s="67"/>
      <c r="D524" s="67"/>
    </row>
    <row r="525" spans="2:4">
      <c r="B525" s="67"/>
      <c r="C525" s="67"/>
      <c r="D525" s="67"/>
    </row>
    <row r="526" spans="2:4">
      <c r="B526" s="67"/>
      <c r="C526" s="67"/>
      <c r="D526" s="67"/>
    </row>
    <row r="527" spans="2:4">
      <c r="B527" s="67"/>
      <c r="C527" s="67"/>
      <c r="D527" s="67"/>
    </row>
    <row r="528" spans="2:4">
      <c r="B528" s="67"/>
      <c r="C528" s="67"/>
      <c r="D528" s="67"/>
    </row>
    <row r="529" spans="2:4">
      <c r="B529" s="67"/>
      <c r="C529" s="67"/>
      <c r="D529" s="67"/>
    </row>
    <row r="530" spans="2:4">
      <c r="B530" s="67"/>
      <c r="C530" s="67"/>
      <c r="D530" s="67"/>
    </row>
    <row r="531" spans="2:4">
      <c r="B531" s="67"/>
      <c r="C531" s="67"/>
      <c r="D531" s="67"/>
    </row>
    <row r="532" spans="2:4">
      <c r="B532" s="67"/>
      <c r="C532" s="67"/>
      <c r="D532" s="67"/>
    </row>
    <row r="533" spans="2:4">
      <c r="B533" s="67"/>
      <c r="C533" s="67"/>
      <c r="D533" s="67"/>
    </row>
    <row r="534" spans="2:4">
      <c r="B534" s="67"/>
      <c r="C534" s="67"/>
      <c r="D534" s="67"/>
    </row>
    <row r="535" spans="2:4">
      <c r="B535" s="67"/>
      <c r="C535" s="67"/>
      <c r="D535" s="67"/>
    </row>
    <row r="536" spans="2:4">
      <c r="B536" s="67"/>
      <c r="C536" s="67"/>
      <c r="D536" s="67"/>
    </row>
    <row r="537" spans="2:4">
      <c r="B537" s="67"/>
      <c r="C537" s="67"/>
      <c r="D537" s="67"/>
    </row>
    <row r="538" spans="2:4">
      <c r="B538" s="67"/>
      <c r="C538" s="67"/>
      <c r="D538" s="67"/>
    </row>
    <row r="539" spans="2:4">
      <c r="B539" s="67"/>
      <c r="C539" s="67"/>
      <c r="D539" s="67"/>
    </row>
    <row r="540" spans="2:4">
      <c r="B540" s="67"/>
      <c r="C540" s="67"/>
      <c r="D540" s="67"/>
    </row>
    <row r="541" spans="2:4">
      <c r="B541" s="67"/>
      <c r="C541" s="67"/>
      <c r="D541" s="67"/>
    </row>
    <row r="542" spans="2:4">
      <c r="B542" s="67"/>
      <c r="C542" s="67"/>
      <c r="D542" s="67"/>
    </row>
    <row r="543" spans="2:4">
      <c r="B543" s="67"/>
      <c r="C543" s="67"/>
      <c r="D543" s="67"/>
    </row>
    <row r="544" spans="2:4">
      <c r="B544" s="67"/>
      <c r="C544" s="67"/>
      <c r="D544" s="67"/>
    </row>
    <row r="545" spans="2:4">
      <c r="B545" s="67"/>
      <c r="C545" s="67"/>
      <c r="D545" s="67"/>
    </row>
    <row r="546" spans="2:4">
      <c r="B546" s="67"/>
      <c r="C546" s="67"/>
      <c r="D546" s="67"/>
    </row>
    <row r="547" spans="2:4">
      <c r="B547" s="67"/>
      <c r="C547" s="67"/>
      <c r="D547" s="67"/>
    </row>
    <row r="548" spans="2:4">
      <c r="B548" s="67"/>
      <c r="C548" s="67"/>
      <c r="D548" s="67"/>
    </row>
    <row r="549" spans="2:4">
      <c r="B549" s="67"/>
      <c r="C549" s="67"/>
      <c r="D549" s="67"/>
    </row>
    <row r="550" spans="2:4">
      <c r="B550" s="67"/>
      <c r="C550" s="67"/>
      <c r="D550" s="67"/>
    </row>
    <row r="551" spans="2:4">
      <c r="B551" s="67"/>
      <c r="C551" s="67"/>
      <c r="D551" s="67"/>
    </row>
    <row r="552" spans="2:4">
      <c r="B552" s="67"/>
      <c r="C552" s="67"/>
      <c r="D552" s="67"/>
    </row>
    <row r="553" spans="2:4">
      <c r="B553" s="67"/>
      <c r="C553" s="67"/>
      <c r="D553" s="67"/>
    </row>
    <row r="554" spans="2:4">
      <c r="B554" s="67"/>
      <c r="C554" s="67"/>
      <c r="D554" s="67"/>
    </row>
    <row r="555" spans="2:4">
      <c r="B555" s="67"/>
      <c r="C555" s="67"/>
      <c r="D555" s="67"/>
    </row>
    <row r="556" spans="2:4">
      <c r="B556" s="67"/>
      <c r="C556" s="67"/>
      <c r="D556" s="67"/>
    </row>
    <row r="557" spans="2:4">
      <c r="B557" s="67"/>
      <c r="C557" s="67"/>
      <c r="D557" s="67"/>
    </row>
    <row r="558" spans="2:4">
      <c r="B558" s="67"/>
      <c r="C558" s="67"/>
      <c r="D558" s="67"/>
    </row>
    <row r="559" spans="2:4">
      <c r="B559" s="67"/>
      <c r="C559" s="67"/>
      <c r="D559" s="67"/>
    </row>
    <row r="560" spans="2:4">
      <c r="B560" s="67"/>
      <c r="C560" s="67"/>
      <c r="D560" s="67"/>
    </row>
    <row r="561" spans="2:4">
      <c r="B561" s="67"/>
      <c r="C561" s="67"/>
      <c r="D561" s="67"/>
    </row>
    <row r="562" spans="2:4">
      <c r="B562" s="67"/>
      <c r="C562" s="67"/>
      <c r="D562" s="67"/>
    </row>
    <row r="563" spans="2:4">
      <c r="B563" s="67"/>
      <c r="C563" s="67"/>
      <c r="D563" s="67"/>
    </row>
    <row r="564" spans="2:4">
      <c r="B564" s="67"/>
      <c r="C564" s="67"/>
      <c r="D564" s="67"/>
    </row>
    <row r="565" spans="2:4">
      <c r="B565" s="67"/>
      <c r="C565" s="67"/>
      <c r="D565" s="67"/>
    </row>
    <row r="566" spans="2:4">
      <c r="B566" s="67"/>
      <c r="C566" s="67"/>
      <c r="D566" s="67"/>
    </row>
    <row r="567" spans="2:4">
      <c r="B567" s="67"/>
      <c r="C567" s="67"/>
      <c r="D567" s="67"/>
    </row>
    <row r="568" spans="2:4">
      <c r="B568" s="67"/>
      <c r="C568" s="67"/>
      <c r="D568" s="67"/>
    </row>
    <row r="569" spans="2:4">
      <c r="B569" s="67"/>
      <c r="C569" s="67"/>
      <c r="D569" s="67"/>
    </row>
    <row r="570" spans="2:4">
      <c r="B570" s="67"/>
      <c r="C570" s="67"/>
      <c r="D570" s="67"/>
    </row>
    <row r="571" spans="2:4">
      <c r="B571" s="67"/>
      <c r="C571" s="67"/>
      <c r="D571" s="67"/>
    </row>
    <row r="572" spans="2:4">
      <c r="B572" s="67"/>
      <c r="C572" s="67"/>
      <c r="D572" s="67"/>
    </row>
    <row r="573" spans="2:4">
      <c r="B573" s="67"/>
      <c r="C573" s="67"/>
      <c r="D573" s="67"/>
    </row>
    <row r="574" spans="2:4">
      <c r="B574" s="67"/>
      <c r="C574" s="67"/>
      <c r="D574" s="67"/>
    </row>
    <row r="575" spans="2:4">
      <c r="B575" s="67"/>
      <c r="C575" s="67"/>
      <c r="D575" s="67"/>
    </row>
    <row r="576" spans="2:4">
      <c r="B576" s="67"/>
      <c r="C576" s="67"/>
      <c r="D576" s="67"/>
    </row>
    <row r="577" spans="2:4">
      <c r="B577" s="67"/>
      <c r="C577" s="67"/>
      <c r="D577" s="67"/>
    </row>
    <row r="578" spans="2:4">
      <c r="B578" s="67"/>
      <c r="C578" s="67"/>
      <c r="D578" s="67"/>
    </row>
    <row r="579" spans="2:4">
      <c r="B579" s="67"/>
      <c r="C579" s="67"/>
      <c r="D579" s="67"/>
    </row>
    <row r="580" spans="2:4">
      <c r="B580" s="67"/>
      <c r="C580" s="67"/>
      <c r="D580" s="67"/>
    </row>
    <row r="581" spans="2:4">
      <c r="B581" s="67"/>
      <c r="C581" s="67"/>
      <c r="D581" s="67"/>
    </row>
    <row r="582" spans="2:4">
      <c r="B582" s="67"/>
      <c r="C582" s="67"/>
      <c r="D582" s="67"/>
    </row>
    <row r="583" spans="2:4">
      <c r="B583" s="67"/>
      <c r="C583" s="67"/>
      <c r="D583" s="67"/>
    </row>
    <row r="584" spans="2:4">
      <c r="B584" s="67"/>
      <c r="C584" s="67"/>
      <c r="D584" s="67"/>
    </row>
    <row r="585" spans="2:4">
      <c r="B585" s="67"/>
      <c r="C585" s="67"/>
      <c r="D585" s="67"/>
    </row>
    <row r="586" spans="2:4">
      <c r="B586" s="67"/>
      <c r="C586" s="67"/>
      <c r="D586" s="67"/>
    </row>
    <row r="587" spans="2:4">
      <c r="B587" s="67"/>
      <c r="C587" s="67"/>
      <c r="D587" s="67"/>
    </row>
    <row r="588" spans="2:4">
      <c r="B588" s="67"/>
      <c r="C588" s="67"/>
      <c r="D588" s="67"/>
    </row>
    <row r="589" spans="2:4">
      <c r="B589" s="67"/>
      <c r="C589" s="67"/>
      <c r="D589" s="67"/>
    </row>
    <row r="590" spans="2:4">
      <c r="B590" s="67"/>
      <c r="C590" s="67"/>
      <c r="D590" s="67"/>
    </row>
    <row r="591" spans="2:4">
      <c r="B591" s="67"/>
      <c r="C591" s="67"/>
      <c r="D591" s="67"/>
    </row>
    <row r="592" spans="2:4">
      <c r="B592" s="67"/>
      <c r="C592" s="67"/>
      <c r="D592" s="67"/>
    </row>
    <row r="593" spans="2:4">
      <c r="B593" s="67"/>
      <c r="C593" s="67"/>
      <c r="D593" s="67"/>
    </row>
    <row r="594" spans="2:4">
      <c r="B594" s="67"/>
      <c r="C594" s="67"/>
      <c r="D594" s="67"/>
    </row>
    <row r="595" spans="2:4">
      <c r="B595" s="67"/>
      <c r="C595" s="67"/>
      <c r="D595" s="67"/>
    </row>
    <row r="596" spans="2:4">
      <c r="B596" s="67"/>
      <c r="C596" s="67"/>
      <c r="D596" s="67"/>
    </row>
    <row r="597" spans="2:4">
      <c r="B597" s="67"/>
      <c r="C597" s="67"/>
      <c r="D597" s="67"/>
    </row>
    <row r="598" spans="2:4">
      <c r="B598" s="67"/>
      <c r="C598" s="67"/>
      <c r="D598" s="67"/>
    </row>
    <row r="599" spans="2:4">
      <c r="B599" s="67"/>
      <c r="C599" s="67"/>
      <c r="D599" s="67"/>
    </row>
    <row r="600" spans="2:4">
      <c r="B600" s="67"/>
      <c r="C600" s="67"/>
      <c r="D600" s="67"/>
    </row>
    <row r="601" spans="2:4">
      <c r="B601" s="67"/>
      <c r="C601" s="67"/>
      <c r="D601" s="67"/>
    </row>
    <row r="602" spans="2:4">
      <c r="B602" s="67"/>
      <c r="C602" s="67"/>
      <c r="D602" s="67"/>
    </row>
    <row r="603" spans="2:4">
      <c r="B603" s="67"/>
      <c r="C603" s="67"/>
      <c r="D603" s="67"/>
    </row>
    <row r="604" spans="2:4">
      <c r="B604" s="67"/>
      <c r="C604" s="67"/>
      <c r="D604" s="67"/>
    </row>
    <row r="605" spans="2:4">
      <c r="B605" s="67"/>
      <c r="C605" s="67"/>
      <c r="D605" s="67"/>
    </row>
    <row r="606" spans="2:4">
      <c r="B606" s="67"/>
      <c r="C606" s="67"/>
      <c r="D606" s="67"/>
    </row>
    <row r="607" spans="2:4">
      <c r="B607" s="67"/>
      <c r="C607" s="67"/>
      <c r="D607" s="67"/>
    </row>
    <row r="608" spans="2:4">
      <c r="B608" s="67"/>
      <c r="C608" s="67"/>
      <c r="D608" s="67"/>
    </row>
    <row r="609" spans="2:4">
      <c r="B609" s="67"/>
      <c r="C609" s="67"/>
      <c r="D609" s="67"/>
    </row>
    <row r="610" spans="2:4">
      <c r="B610" s="67"/>
      <c r="C610" s="67"/>
      <c r="D610" s="67"/>
    </row>
    <row r="611" spans="2:4">
      <c r="B611" s="67"/>
      <c r="C611" s="67"/>
      <c r="D611" s="67"/>
    </row>
    <row r="612" spans="2:4">
      <c r="B612" s="67"/>
      <c r="C612" s="67"/>
      <c r="D612" s="67"/>
    </row>
    <row r="613" spans="2:4">
      <c r="B613" s="67"/>
      <c r="C613" s="67"/>
      <c r="D613" s="67"/>
    </row>
    <row r="614" spans="2:4">
      <c r="B614" s="67"/>
      <c r="C614" s="67"/>
      <c r="D614" s="67"/>
    </row>
    <row r="615" spans="2:4">
      <c r="B615" s="67"/>
      <c r="C615" s="67"/>
      <c r="D615" s="67"/>
    </row>
    <row r="616" spans="2:4">
      <c r="B616" s="67"/>
      <c r="C616" s="67"/>
      <c r="D616" s="67"/>
    </row>
    <row r="617" spans="2:4">
      <c r="B617" s="67"/>
      <c r="C617" s="67"/>
      <c r="D617" s="67"/>
    </row>
    <row r="618" spans="2:4">
      <c r="B618" s="67"/>
      <c r="C618" s="67"/>
      <c r="D618" s="67"/>
    </row>
    <row r="619" spans="2:4">
      <c r="B619" s="67"/>
      <c r="C619" s="67"/>
      <c r="D619" s="67"/>
    </row>
    <row r="620" spans="2:4">
      <c r="B620" s="67"/>
      <c r="C620" s="67"/>
      <c r="D620" s="67"/>
    </row>
    <row r="621" spans="2:4">
      <c r="B621" s="67"/>
      <c r="C621" s="67"/>
      <c r="D621" s="67"/>
    </row>
    <row r="622" spans="2:4">
      <c r="B622" s="67"/>
      <c r="C622" s="67"/>
      <c r="D622" s="67"/>
    </row>
    <row r="623" spans="2:4">
      <c r="B623" s="67"/>
      <c r="C623" s="67"/>
      <c r="D623" s="67"/>
    </row>
    <row r="624" spans="2:4">
      <c r="B624" s="67"/>
      <c r="C624" s="67"/>
      <c r="D624" s="67"/>
    </row>
    <row r="625" spans="2:4">
      <c r="B625" s="67"/>
      <c r="C625" s="67"/>
      <c r="D625" s="67"/>
    </row>
    <row r="626" spans="2:4">
      <c r="B626" s="67"/>
      <c r="C626" s="67"/>
      <c r="D626" s="67"/>
    </row>
    <row r="627" spans="2:4">
      <c r="B627" s="67"/>
      <c r="C627" s="67"/>
      <c r="D627" s="67"/>
    </row>
    <row r="628" spans="2:4">
      <c r="B628" s="67"/>
      <c r="C628" s="67"/>
      <c r="D628" s="67"/>
    </row>
    <row r="629" spans="2:4">
      <c r="B629" s="67"/>
      <c r="C629" s="67"/>
      <c r="D629" s="67"/>
    </row>
    <row r="630" spans="2:4">
      <c r="B630" s="67"/>
      <c r="C630" s="67"/>
      <c r="D630" s="67"/>
    </row>
    <row r="631" spans="2:4">
      <c r="B631" s="67"/>
      <c r="C631" s="67"/>
      <c r="D631" s="67"/>
    </row>
    <row r="632" spans="2:4">
      <c r="B632" s="67"/>
      <c r="C632" s="67"/>
      <c r="D632" s="67"/>
    </row>
    <row r="633" spans="2:4">
      <c r="B633" s="67"/>
      <c r="C633" s="67"/>
      <c r="D633" s="67"/>
    </row>
    <row r="634" spans="2:4">
      <c r="B634" s="67"/>
      <c r="C634" s="67"/>
      <c r="D634" s="67"/>
    </row>
    <row r="635" spans="2:4">
      <c r="B635" s="67"/>
      <c r="C635" s="67"/>
      <c r="D635" s="67"/>
    </row>
    <row r="636" spans="2:4">
      <c r="B636" s="67"/>
      <c r="C636" s="67"/>
      <c r="D636" s="67"/>
    </row>
    <row r="637" spans="2:4">
      <c r="B637" s="67"/>
      <c r="C637" s="67"/>
      <c r="D637" s="67"/>
    </row>
    <row r="638" spans="2:4">
      <c r="B638" s="67"/>
      <c r="C638" s="67"/>
      <c r="D638" s="67"/>
    </row>
    <row r="639" spans="2:4">
      <c r="B639" s="67"/>
      <c r="C639" s="67"/>
      <c r="D639" s="67"/>
    </row>
    <row r="640" spans="2:4">
      <c r="B640" s="67"/>
      <c r="C640" s="67"/>
      <c r="D640" s="67"/>
    </row>
    <row r="641" spans="2:4">
      <c r="B641" s="67"/>
      <c r="C641" s="67"/>
      <c r="D641" s="67"/>
    </row>
    <row r="642" spans="2:4">
      <c r="B642" s="67"/>
      <c r="C642" s="67"/>
      <c r="D642" s="67"/>
    </row>
    <row r="643" spans="2:4">
      <c r="B643" s="67"/>
      <c r="C643" s="67"/>
      <c r="D643" s="67"/>
    </row>
    <row r="644" spans="2:4">
      <c r="B644" s="67"/>
      <c r="C644" s="67"/>
      <c r="D644" s="67"/>
    </row>
    <row r="645" spans="2:4">
      <c r="B645" s="67"/>
      <c r="C645" s="67"/>
      <c r="D645" s="67"/>
    </row>
    <row r="646" spans="2:4">
      <c r="B646" s="67"/>
      <c r="C646" s="67"/>
      <c r="D646" s="67"/>
    </row>
    <row r="647" spans="2:4">
      <c r="B647" s="67"/>
      <c r="C647" s="67"/>
      <c r="D647" s="67"/>
    </row>
    <row r="648" spans="2:4">
      <c r="B648" s="67"/>
      <c r="C648" s="67"/>
      <c r="D648" s="67"/>
    </row>
    <row r="649" spans="2:4">
      <c r="B649" s="67"/>
      <c r="C649" s="67"/>
      <c r="D649" s="67"/>
    </row>
    <row r="650" spans="2:4">
      <c r="B650" s="67"/>
      <c r="C650" s="67"/>
      <c r="D650" s="67"/>
    </row>
    <row r="651" spans="2:4">
      <c r="B651" s="67"/>
      <c r="C651" s="67"/>
      <c r="D651" s="67"/>
    </row>
    <row r="652" spans="2:4">
      <c r="B652" s="67"/>
      <c r="C652" s="67"/>
      <c r="D652" s="67"/>
    </row>
    <row r="653" spans="2:4">
      <c r="B653" s="67"/>
      <c r="C653" s="67"/>
      <c r="D653" s="67"/>
    </row>
    <row r="654" spans="2:4">
      <c r="B654" s="67"/>
      <c r="C654" s="67"/>
      <c r="D654" s="67"/>
    </row>
    <row r="655" spans="2:4">
      <c r="B655" s="67"/>
      <c r="C655" s="67"/>
      <c r="D655" s="67"/>
    </row>
    <row r="656" spans="2:4">
      <c r="B656" s="67"/>
      <c r="C656" s="67"/>
      <c r="D656" s="67"/>
    </row>
    <row r="657" spans="2:4">
      <c r="B657" s="67"/>
      <c r="C657" s="67"/>
      <c r="D657" s="67"/>
    </row>
    <row r="658" spans="2:4">
      <c r="B658" s="67"/>
      <c r="C658" s="67"/>
      <c r="D658" s="67"/>
    </row>
    <row r="659" spans="2:4">
      <c r="B659" s="67"/>
      <c r="C659" s="67"/>
      <c r="D659" s="67"/>
    </row>
    <row r="660" spans="2:4">
      <c r="B660" s="67"/>
      <c r="C660" s="67"/>
      <c r="D660" s="67"/>
    </row>
    <row r="661" spans="2:4">
      <c r="B661" s="67"/>
      <c r="C661" s="67"/>
      <c r="D661" s="67"/>
    </row>
    <row r="662" spans="2:4">
      <c r="B662" s="67"/>
      <c r="C662" s="67"/>
      <c r="D662" s="67"/>
    </row>
    <row r="663" spans="2:4">
      <c r="B663" s="67"/>
      <c r="C663" s="67"/>
      <c r="D663" s="67"/>
    </row>
    <row r="664" spans="2:4">
      <c r="B664" s="67"/>
      <c r="C664" s="67"/>
      <c r="D664" s="67"/>
    </row>
    <row r="665" spans="2:4">
      <c r="B665" s="67"/>
      <c r="C665" s="67"/>
      <c r="D665" s="67"/>
    </row>
    <row r="666" spans="2:4">
      <c r="B666" s="67"/>
      <c r="C666" s="67"/>
      <c r="D666" s="67"/>
    </row>
    <row r="667" spans="2:4">
      <c r="B667" s="67"/>
      <c r="C667" s="67"/>
      <c r="D667" s="67"/>
    </row>
    <row r="668" spans="2:4">
      <c r="B668" s="67"/>
      <c r="C668" s="67"/>
      <c r="D668" s="67"/>
    </row>
    <row r="669" spans="2:4">
      <c r="B669" s="67"/>
      <c r="C669" s="67"/>
      <c r="D669" s="67"/>
    </row>
    <row r="670" spans="2:4">
      <c r="B670" s="67"/>
      <c r="C670" s="67"/>
      <c r="D670" s="67"/>
    </row>
    <row r="671" spans="2:4">
      <c r="B671" s="67"/>
      <c r="C671" s="67"/>
      <c r="D671" s="67"/>
    </row>
    <row r="672" spans="2:4">
      <c r="B672" s="67"/>
      <c r="C672" s="67"/>
      <c r="D672" s="67"/>
    </row>
    <row r="673" spans="2:4">
      <c r="B673" s="67"/>
      <c r="C673" s="67"/>
      <c r="D673" s="67"/>
    </row>
    <row r="674" spans="2:4">
      <c r="B674" s="67"/>
      <c r="C674" s="67"/>
      <c r="D674" s="67"/>
    </row>
    <row r="675" spans="2:4">
      <c r="B675" s="67"/>
      <c r="C675" s="67"/>
      <c r="D675" s="67"/>
    </row>
    <row r="676" spans="2:4">
      <c r="B676" s="67"/>
      <c r="C676" s="67"/>
      <c r="D676" s="67"/>
    </row>
    <row r="677" spans="2:4">
      <c r="B677" s="67"/>
      <c r="C677" s="67"/>
      <c r="D677" s="67"/>
    </row>
    <row r="678" spans="2:4">
      <c r="B678" s="67"/>
      <c r="C678" s="67"/>
      <c r="D678" s="67"/>
    </row>
    <row r="679" spans="2:4">
      <c r="B679" s="67"/>
      <c r="C679" s="67"/>
      <c r="D679" s="67"/>
    </row>
    <row r="680" spans="2:4">
      <c r="B680" s="67"/>
      <c r="C680" s="67"/>
      <c r="D680" s="67"/>
    </row>
    <row r="681" spans="2:4">
      <c r="B681" s="67"/>
      <c r="C681" s="67"/>
      <c r="D681" s="67"/>
    </row>
    <row r="682" spans="2:4">
      <c r="B682" s="67"/>
      <c r="C682" s="67"/>
      <c r="D682" s="67"/>
    </row>
    <row r="683" spans="2:4">
      <c r="B683" s="67"/>
      <c r="C683" s="67"/>
      <c r="D683" s="67"/>
    </row>
    <row r="684" spans="2:4">
      <c r="B684" s="67"/>
      <c r="C684" s="67"/>
      <c r="D684" s="67"/>
    </row>
    <row r="685" spans="2:4">
      <c r="B685" s="67"/>
      <c r="C685" s="67"/>
      <c r="D685" s="67"/>
    </row>
    <row r="686" spans="2:4">
      <c r="B686" s="67"/>
      <c r="C686" s="67"/>
      <c r="D686" s="67"/>
    </row>
    <row r="687" spans="2:4">
      <c r="B687" s="67"/>
      <c r="C687" s="67"/>
      <c r="D687" s="67"/>
    </row>
    <row r="688" spans="2:4">
      <c r="B688" s="67"/>
      <c r="C688" s="67"/>
      <c r="D688" s="67"/>
    </row>
    <row r="689" spans="2:4">
      <c r="B689" s="67"/>
      <c r="C689" s="67"/>
      <c r="D689" s="67"/>
    </row>
    <row r="690" spans="2:4">
      <c r="B690" s="67"/>
      <c r="C690" s="67"/>
      <c r="D690" s="67"/>
    </row>
    <row r="691" spans="2:4">
      <c r="B691" s="67"/>
      <c r="C691" s="67"/>
      <c r="D691" s="67"/>
    </row>
    <row r="692" spans="2:4">
      <c r="B692" s="67"/>
      <c r="C692" s="67"/>
      <c r="D692" s="67"/>
    </row>
    <row r="693" spans="2:4">
      <c r="B693" s="67"/>
      <c r="C693" s="67"/>
      <c r="D693" s="67"/>
    </row>
    <row r="694" spans="2:4">
      <c r="B694" s="67"/>
      <c r="C694" s="67"/>
      <c r="D694" s="67"/>
    </row>
    <row r="695" spans="2:4">
      <c r="B695" s="67"/>
      <c r="C695" s="67"/>
      <c r="D695" s="67"/>
    </row>
    <row r="696" spans="2:4">
      <c r="B696" s="67"/>
      <c r="C696" s="67"/>
      <c r="D696" s="67"/>
    </row>
    <row r="697" spans="2:4">
      <c r="B697" s="67"/>
      <c r="C697" s="67"/>
      <c r="D697" s="67"/>
    </row>
    <row r="698" spans="2:4">
      <c r="B698" s="67"/>
      <c r="C698" s="67"/>
      <c r="D698" s="67"/>
    </row>
    <row r="699" spans="2:4">
      <c r="B699" s="67"/>
      <c r="C699" s="67"/>
      <c r="D699" s="67"/>
    </row>
    <row r="700" spans="2:4">
      <c r="B700" s="67"/>
      <c r="C700" s="67"/>
      <c r="D700" s="67"/>
    </row>
    <row r="701" spans="2:4">
      <c r="B701" s="67"/>
      <c r="C701" s="67"/>
      <c r="D701" s="67"/>
    </row>
    <row r="702" spans="2:4">
      <c r="B702" s="67"/>
      <c r="C702" s="67"/>
      <c r="D702" s="67"/>
    </row>
    <row r="703" spans="2:4">
      <c r="B703" s="67"/>
      <c r="C703" s="67"/>
      <c r="D703" s="67"/>
    </row>
    <row r="704" spans="2:4">
      <c r="B704" s="67"/>
      <c r="C704" s="67"/>
      <c r="D704" s="67"/>
    </row>
    <row r="705" spans="2:4">
      <c r="B705" s="67"/>
      <c r="C705" s="67"/>
      <c r="D705" s="67"/>
    </row>
    <row r="706" spans="2:4">
      <c r="B706" s="67"/>
      <c r="C706" s="67"/>
      <c r="D706" s="67"/>
    </row>
    <row r="707" spans="2:4">
      <c r="B707" s="67"/>
      <c r="C707" s="67"/>
      <c r="D707" s="67"/>
    </row>
    <row r="708" spans="2:4">
      <c r="B708" s="67"/>
      <c r="C708" s="67"/>
      <c r="D708" s="67"/>
    </row>
    <row r="709" spans="2:4">
      <c r="B709" s="67"/>
      <c r="C709" s="67"/>
      <c r="D709" s="67"/>
    </row>
    <row r="710" spans="2:4">
      <c r="B710" s="67"/>
      <c r="C710" s="67"/>
      <c r="D710" s="67"/>
    </row>
    <row r="711" spans="2:4">
      <c r="B711" s="67"/>
      <c r="C711" s="67"/>
      <c r="D711" s="67"/>
    </row>
    <row r="712" spans="2:4">
      <c r="B712" s="67"/>
      <c r="C712" s="67"/>
      <c r="D712" s="67"/>
    </row>
    <row r="713" spans="2:4">
      <c r="B713" s="67"/>
      <c r="C713" s="67"/>
      <c r="D713" s="67"/>
    </row>
    <row r="714" spans="2:4">
      <c r="B714" s="67"/>
      <c r="C714" s="67"/>
      <c r="D714" s="67"/>
    </row>
    <row r="715" spans="2:4">
      <c r="B715" s="67"/>
      <c r="C715" s="67"/>
      <c r="D715" s="67"/>
    </row>
    <row r="716" spans="2:4">
      <c r="B716" s="67"/>
      <c r="C716" s="67"/>
      <c r="D716" s="67"/>
    </row>
    <row r="717" spans="2:4">
      <c r="B717" s="67"/>
      <c r="C717" s="67"/>
      <c r="D717" s="67"/>
    </row>
    <row r="718" spans="2:4">
      <c r="B718" s="67"/>
      <c r="C718" s="67"/>
      <c r="D718" s="67"/>
    </row>
    <row r="719" spans="2:4">
      <c r="B719" s="67"/>
      <c r="C719" s="67"/>
      <c r="D719" s="67"/>
    </row>
    <row r="720" spans="2:4">
      <c r="B720" s="67"/>
      <c r="C720" s="67"/>
      <c r="D720" s="67"/>
    </row>
    <row r="721" spans="2:4">
      <c r="B721" s="67"/>
      <c r="C721" s="67"/>
      <c r="D721" s="67"/>
    </row>
    <row r="722" spans="2:4">
      <c r="B722" s="67"/>
      <c r="C722" s="67"/>
      <c r="D722" s="67"/>
    </row>
    <row r="723" spans="2:4">
      <c r="B723" s="67"/>
      <c r="C723" s="67"/>
      <c r="D723" s="67"/>
    </row>
    <row r="724" spans="2:4">
      <c r="B724" s="67"/>
      <c r="C724" s="67"/>
      <c r="D724" s="67"/>
    </row>
    <row r="725" spans="2:4">
      <c r="B725" s="67"/>
      <c r="C725" s="67"/>
      <c r="D725" s="67"/>
    </row>
    <row r="726" spans="2:4">
      <c r="B726" s="67"/>
      <c r="C726" s="67"/>
      <c r="D726" s="67"/>
    </row>
    <row r="727" spans="2:4">
      <c r="B727" s="67"/>
      <c r="C727" s="67"/>
      <c r="D727" s="67"/>
    </row>
    <row r="728" spans="2:4">
      <c r="B728" s="67"/>
      <c r="C728" s="67"/>
      <c r="D728" s="67"/>
    </row>
    <row r="729" spans="2:4">
      <c r="B729" s="67"/>
      <c r="C729" s="67"/>
      <c r="D729" s="67"/>
    </row>
    <row r="730" spans="2:4">
      <c r="B730" s="67"/>
      <c r="C730" s="67"/>
      <c r="D730" s="67"/>
    </row>
    <row r="731" spans="2:4">
      <c r="B731" s="67"/>
      <c r="C731" s="67"/>
      <c r="D731" s="67"/>
    </row>
    <row r="732" spans="2:4">
      <c r="B732" s="67"/>
      <c r="C732" s="67"/>
      <c r="D732" s="67"/>
    </row>
    <row r="733" spans="2:4">
      <c r="B733" s="67"/>
      <c r="C733" s="67"/>
      <c r="D733" s="67"/>
    </row>
    <row r="734" spans="2:4">
      <c r="B734" s="67"/>
      <c r="C734" s="67"/>
      <c r="D734" s="67"/>
    </row>
    <row r="735" spans="2:4">
      <c r="B735" s="67"/>
      <c r="C735" s="67"/>
      <c r="D735" s="67"/>
    </row>
    <row r="736" spans="2:4">
      <c r="B736" s="67"/>
      <c r="C736" s="67"/>
      <c r="D736" s="67"/>
    </row>
    <row r="737" spans="2:4">
      <c r="B737" s="67"/>
      <c r="C737" s="67"/>
      <c r="D737" s="67"/>
    </row>
    <row r="738" spans="2:4">
      <c r="B738" s="67"/>
      <c r="C738" s="67"/>
      <c r="D738" s="67"/>
    </row>
    <row r="739" spans="2:4">
      <c r="B739" s="67"/>
      <c r="C739" s="67"/>
      <c r="D739" s="67"/>
    </row>
    <row r="740" spans="2:4">
      <c r="B740" s="67"/>
      <c r="C740" s="67"/>
      <c r="D740" s="67"/>
    </row>
    <row r="741" spans="2:4">
      <c r="B741" s="67"/>
      <c r="C741" s="67"/>
      <c r="D741" s="67"/>
    </row>
    <row r="742" spans="2:4">
      <c r="B742" s="67"/>
      <c r="C742" s="67"/>
      <c r="D742" s="67"/>
    </row>
    <row r="743" spans="2:4">
      <c r="B743" s="67"/>
      <c r="C743" s="67"/>
      <c r="D743" s="67"/>
    </row>
    <row r="744" spans="2:4">
      <c r="B744" s="67"/>
      <c r="C744" s="67"/>
      <c r="D744" s="67"/>
    </row>
    <row r="745" spans="2:4">
      <c r="B745" s="67"/>
      <c r="C745" s="67"/>
      <c r="D745" s="67"/>
    </row>
    <row r="746" spans="2:4">
      <c r="B746" s="67"/>
      <c r="C746" s="67"/>
      <c r="D746" s="67"/>
    </row>
    <row r="747" spans="2:4">
      <c r="B747" s="67"/>
      <c r="C747" s="67"/>
      <c r="D747" s="67"/>
    </row>
    <row r="748" spans="2:4">
      <c r="B748" s="67"/>
      <c r="C748" s="67"/>
      <c r="D748" s="67"/>
    </row>
    <row r="749" spans="2:4">
      <c r="B749" s="67"/>
      <c r="C749" s="67"/>
      <c r="D749" s="67"/>
    </row>
    <row r="750" spans="2:4">
      <c r="B750" s="67"/>
      <c r="C750" s="67"/>
      <c r="D750" s="67"/>
    </row>
    <row r="751" spans="2:4">
      <c r="B751" s="67"/>
      <c r="C751" s="67"/>
      <c r="D751" s="67"/>
    </row>
    <row r="752" spans="2:4">
      <c r="B752" s="67"/>
      <c r="C752" s="67"/>
      <c r="D752" s="67"/>
    </row>
    <row r="753" spans="2:4">
      <c r="B753" s="67"/>
      <c r="C753" s="67"/>
      <c r="D753" s="67"/>
    </row>
    <row r="754" spans="2:4">
      <c r="B754" s="67"/>
      <c r="C754" s="67"/>
      <c r="D754" s="67"/>
    </row>
    <row r="755" spans="2:4">
      <c r="B755" s="67"/>
      <c r="C755" s="67"/>
      <c r="D755" s="67"/>
    </row>
    <row r="756" spans="2:4">
      <c r="B756" s="67"/>
      <c r="C756" s="67"/>
      <c r="D756" s="67"/>
    </row>
    <row r="757" spans="2:4">
      <c r="B757" s="67"/>
      <c r="C757" s="67"/>
      <c r="D757" s="67"/>
    </row>
    <row r="758" spans="2:4">
      <c r="B758" s="67"/>
      <c r="C758" s="67"/>
      <c r="D758" s="67"/>
    </row>
    <row r="759" spans="2:4">
      <c r="B759" s="67"/>
      <c r="C759" s="67"/>
      <c r="D759" s="67"/>
    </row>
    <row r="760" spans="2:4">
      <c r="B760" s="67"/>
      <c r="C760" s="67"/>
      <c r="D760" s="67"/>
    </row>
    <row r="761" spans="2:4">
      <c r="B761" s="67"/>
      <c r="C761" s="67"/>
      <c r="D761" s="67"/>
    </row>
    <row r="762" spans="2:4">
      <c r="B762" s="67"/>
      <c r="C762" s="67"/>
      <c r="D762" s="67"/>
    </row>
    <row r="763" spans="2:4">
      <c r="B763" s="67"/>
      <c r="C763" s="67"/>
      <c r="D763" s="67"/>
    </row>
    <row r="764" spans="2:4">
      <c r="B764" s="67"/>
      <c r="C764" s="67"/>
      <c r="D764" s="67"/>
    </row>
    <row r="765" spans="2:4">
      <c r="B765" s="67"/>
      <c r="C765" s="67"/>
      <c r="D765" s="67"/>
    </row>
    <row r="766" spans="2:4">
      <c r="B766" s="67"/>
      <c r="C766" s="67"/>
      <c r="D766" s="67"/>
    </row>
    <row r="767" spans="2:4">
      <c r="B767" s="67"/>
      <c r="C767" s="67"/>
      <c r="D767" s="67"/>
    </row>
    <row r="768" spans="2:4">
      <c r="B768" s="67"/>
      <c r="C768" s="67"/>
      <c r="D768" s="67"/>
    </row>
    <row r="769" spans="2:4">
      <c r="B769" s="67"/>
      <c r="C769" s="67"/>
      <c r="D769" s="67"/>
    </row>
    <row r="770" spans="2:4">
      <c r="B770" s="67"/>
      <c r="C770" s="67"/>
      <c r="D770" s="67"/>
    </row>
    <row r="771" spans="2:4">
      <c r="B771" s="67"/>
      <c r="C771" s="67"/>
      <c r="D771" s="67"/>
    </row>
    <row r="772" spans="2:4">
      <c r="B772" s="67"/>
      <c r="C772" s="67"/>
      <c r="D772" s="67"/>
    </row>
    <row r="773" spans="2:4">
      <c r="B773" s="67"/>
      <c r="C773" s="67"/>
      <c r="D773" s="67"/>
    </row>
    <row r="774" spans="2:4">
      <c r="B774" s="67"/>
      <c r="C774" s="67"/>
      <c r="D774" s="67"/>
    </row>
    <row r="775" spans="2:4">
      <c r="B775" s="67"/>
      <c r="C775" s="67"/>
      <c r="D775" s="67"/>
    </row>
    <row r="776" spans="2:4">
      <c r="B776" s="67"/>
      <c r="C776" s="67"/>
      <c r="D776" s="67"/>
    </row>
    <row r="777" spans="2:4">
      <c r="B777" s="67"/>
      <c r="C777" s="67"/>
      <c r="D777" s="67"/>
    </row>
    <row r="778" spans="2:4">
      <c r="B778" s="67"/>
      <c r="C778" s="67"/>
      <c r="D778" s="67"/>
    </row>
    <row r="779" spans="2:4">
      <c r="B779" s="67"/>
      <c r="C779" s="67"/>
      <c r="D779" s="67"/>
    </row>
    <row r="780" spans="2:4">
      <c r="B780" s="67"/>
      <c r="C780" s="67"/>
      <c r="D780" s="67"/>
    </row>
    <row r="781" spans="2:4">
      <c r="B781" s="67"/>
      <c r="C781" s="67"/>
      <c r="D781" s="67"/>
    </row>
    <row r="782" spans="2:4">
      <c r="B782" s="67"/>
      <c r="C782" s="67"/>
      <c r="D782" s="67"/>
    </row>
    <row r="783" spans="2:4">
      <c r="B783" s="67"/>
      <c r="C783" s="67"/>
      <c r="D783" s="67"/>
    </row>
    <row r="784" spans="2:4">
      <c r="B784" s="67"/>
      <c r="C784" s="67"/>
      <c r="D784" s="67"/>
    </row>
    <row r="785" spans="2:4">
      <c r="B785" s="67"/>
      <c r="C785" s="67"/>
      <c r="D785" s="67"/>
    </row>
    <row r="786" spans="2:4">
      <c r="B786" s="67"/>
      <c r="C786" s="67"/>
      <c r="D786" s="67"/>
    </row>
    <row r="787" spans="2:4">
      <c r="B787" s="67"/>
      <c r="C787" s="67"/>
      <c r="D787" s="67"/>
    </row>
    <row r="788" spans="2:4">
      <c r="B788" s="67"/>
      <c r="C788" s="67"/>
      <c r="D788" s="67"/>
    </row>
    <row r="789" spans="2:4">
      <c r="B789" s="67"/>
      <c r="C789" s="67"/>
      <c r="D789" s="67"/>
    </row>
    <row r="790" spans="2:4">
      <c r="B790" s="67"/>
      <c r="C790" s="67"/>
      <c r="D790" s="67"/>
    </row>
    <row r="791" spans="2:4">
      <c r="B791" s="67"/>
      <c r="C791" s="67"/>
      <c r="D791" s="67"/>
    </row>
    <row r="792" spans="2:4">
      <c r="B792" s="67"/>
      <c r="C792" s="67"/>
      <c r="D792" s="67"/>
    </row>
    <row r="793" spans="2:4">
      <c r="B793" s="67"/>
      <c r="C793" s="67"/>
      <c r="D793" s="67"/>
    </row>
    <row r="794" spans="2:4">
      <c r="B794" s="67"/>
      <c r="C794" s="67"/>
      <c r="D794" s="67"/>
    </row>
    <row r="795" spans="2:4">
      <c r="B795" s="67"/>
      <c r="C795" s="67"/>
      <c r="D795" s="67"/>
    </row>
    <row r="796" spans="2:4">
      <c r="B796" s="67"/>
      <c r="C796" s="67"/>
      <c r="D796" s="67"/>
    </row>
    <row r="797" spans="2:4">
      <c r="B797" s="67"/>
      <c r="C797" s="67"/>
      <c r="D797" s="67"/>
    </row>
    <row r="798" spans="2:4">
      <c r="B798" s="67"/>
      <c r="C798" s="67"/>
      <c r="D798" s="67"/>
    </row>
    <row r="799" spans="2:4">
      <c r="B799" s="67"/>
      <c r="C799" s="67"/>
      <c r="D799" s="67"/>
    </row>
    <row r="800" spans="2:4">
      <c r="B800" s="67"/>
      <c r="C800" s="67"/>
      <c r="D800" s="67"/>
    </row>
    <row r="801" spans="2:4">
      <c r="B801" s="67"/>
      <c r="C801" s="67"/>
      <c r="D801" s="67"/>
    </row>
    <row r="802" spans="2:4">
      <c r="B802" s="67"/>
      <c r="C802" s="67"/>
      <c r="D802" s="67"/>
    </row>
    <row r="803" spans="2:4">
      <c r="B803" s="67"/>
      <c r="C803" s="67"/>
      <c r="D803" s="67"/>
    </row>
    <row r="804" spans="2:4">
      <c r="B804" s="67"/>
      <c r="C804" s="67"/>
      <c r="D804" s="67"/>
    </row>
    <row r="805" spans="2:4">
      <c r="B805" s="67"/>
      <c r="C805" s="67"/>
      <c r="D805" s="67"/>
    </row>
    <row r="806" spans="2:4">
      <c r="B806" s="67"/>
      <c r="C806" s="67"/>
      <c r="D806" s="67"/>
    </row>
    <row r="807" spans="2:4">
      <c r="B807" s="67"/>
      <c r="C807" s="67"/>
      <c r="D807" s="67"/>
    </row>
    <row r="808" spans="2:4">
      <c r="B808" s="67"/>
      <c r="C808" s="67"/>
      <c r="D808" s="67"/>
    </row>
    <row r="809" spans="2:4">
      <c r="B809" s="67"/>
      <c r="C809" s="67"/>
      <c r="D809" s="67"/>
    </row>
    <row r="810" spans="2:4">
      <c r="B810" s="67"/>
      <c r="C810" s="67"/>
      <c r="D810" s="67"/>
    </row>
    <row r="811" spans="2:4">
      <c r="B811" s="67"/>
      <c r="C811" s="67"/>
      <c r="D811" s="67"/>
    </row>
    <row r="812" spans="2:4">
      <c r="B812" s="67"/>
      <c r="C812" s="67"/>
      <c r="D812" s="67"/>
    </row>
    <row r="813" spans="2:4">
      <c r="B813" s="67"/>
      <c r="C813" s="67"/>
      <c r="D813" s="67"/>
    </row>
    <row r="814" spans="2:4">
      <c r="B814" s="67"/>
      <c r="C814" s="67"/>
      <c r="D814" s="67"/>
    </row>
    <row r="815" spans="2:4">
      <c r="B815" s="67"/>
      <c r="C815" s="67"/>
      <c r="D815" s="67"/>
    </row>
    <row r="816" spans="2:4">
      <c r="B816" s="67"/>
      <c r="C816" s="67"/>
      <c r="D816" s="67"/>
    </row>
    <row r="817" spans="2:4">
      <c r="B817" s="67"/>
      <c r="C817" s="67"/>
      <c r="D817" s="67"/>
    </row>
    <row r="818" spans="2:4">
      <c r="B818" s="67"/>
      <c r="C818" s="67"/>
      <c r="D818" s="67"/>
    </row>
    <row r="819" spans="2:4">
      <c r="B819" s="67"/>
      <c r="C819" s="67"/>
      <c r="D819" s="67"/>
    </row>
    <row r="820" spans="2:4">
      <c r="B820" s="67"/>
      <c r="C820" s="67"/>
      <c r="D820" s="67"/>
    </row>
    <row r="821" spans="2:4">
      <c r="B821" s="67"/>
      <c r="C821" s="67"/>
      <c r="D821" s="67"/>
    </row>
    <row r="822" spans="2:4">
      <c r="B822" s="67"/>
      <c r="C822" s="67"/>
      <c r="D822" s="67"/>
    </row>
    <row r="823" spans="2:4">
      <c r="B823" s="67"/>
      <c r="C823" s="67"/>
      <c r="D823" s="67"/>
    </row>
    <row r="824" spans="2:4">
      <c r="B824" s="67"/>
      <c r="C824" s="67"/>
      <c r="D824" s="67"/>
    </row>
    <row r="825" spans="2:4">
      <c r="B825" s="67"/>
      <c r="C825" s="67"/>
      <c r="D825" s="67"/>
    </row>
    <row r="826" spans="2:4">
      <c r="B826" s="67"/>
      <c r="C826" s="67"/>
      <c r="D826" s="67"/>
    </row>
    <row r="827" spans="2:4">
      <c r="B827" s="67"/>
      <c r="C827" s="67"/>
      <c r="D827" s="67"/>
    </row>
    <row r="828" spans="2:4">
      <c r="B828" s="67"/>
      <c r="C828" s="67"/>
      <c r="D828" s="67"/>
    </row>
    <row r="829" spans="2:4">
      <c r="B829" s="67"/>
      <c r="C829" s="67"/>
      <c r="D829" s="67"/>
    </row>
    <row r="830" spans="2:4">
      <c r="B830" s="67"/>
      <c r="C830" s="67"/>
      <c r="D830" s="67"/>
    </row>
    <row r="831" spans="2:4">
      <c r="B831" s="67"/>
      <c r="C831" s="67"/>
      <c r="D831" s="67"/>
    </row>
    <row r="832" spans="2:4">
      <c r="B832" s="67"/>
      <c r="C832" s="67"/>
      <c r="D832" s="67"/>
    </row>
    <row r="833" spans="2:4">
      <c r="B833" s="67"/>
      <c r="C833" s="67"/>
      <c r="D833" s="67"/>
    </row>
    <row r="834" spans="2:4">
      <c r="B834" s="67"/>
      <c r="C834" s="67"/>
      <c r="D834" s="67"/>
    </row>
    <row r="835" spans="2:4">
      <c r="B835" s="67"/>
      <c r="C835" s="67"/>
      <c r="D835" s="67"/>
    </row>
    <row r="836" spans="2:4">
      <c r="B836" s="67"/>
      <c r="C836" s="67"/>
      <c r="D836" s="67"/>
    </row>
    <row r="837" spans="2:4">
      <c r="B837" s="67"/>
      <c r="C837" s="67"/>
      <c r="D837" s="67"/>
    </row>
    <row r="838" spans="2:4">
      <c r="B838" s="67"/>
      <c r="C838" s="67"/>
      <c r="D838" s="67"/>
    </row>
    <row r="839" spans="2:4">
      <c r="B839" s="67"/>
      <c r="C839" s="67"/>
      <c r="D839" s="67"/>
    </row>
    <row r="840" spans="2:4">
      <c r="B840" s="67"/>
      <c r="C840" s="67"/>
      <c r="D840" s="67"/>
    </row>
    <row r="841" spans="2:4">
      <c r="B841" s="67"/>
      <c r="C841" s="67"/>
      <c r="D841" s="67"/>
    </row>
    <row r="842" spans="2:4">
      <c r="B842" s="67"/>
      <c r="C842" s="67"/>
      <c r="D842" s="67"/>
    </row>
    <row r="843" spans="2:4">
      <c r="B843" s="67"/>
      <c r="C843" s="67"/>
      <c r="D843" s="67"/>
    </row>
    <row r="844" spans="2:4">
      <c r="B844" s="67"/>
      <c r="C844" s="67"/>
      <c r="D844" s="67"/>
    </row>
    <row r="845" spans="2:4">
      <c r="B845" s="67"/>
      <c r="C845" s="67"/>
      <c r="D845" s="67"/>
    </row>
    <row r="846" spans="2:4">
      <c r="B846" s="67"/>
      <c r="C846" s="67"/>
      <c r="D846" s="67"/>
    </row>
    <row r="847" spans="2:4">
      <c r="B847" s="67"/>
      <c r="C847" s="67"/>
      <c r="D847" s="67"/>
    </row>
    <row r="848" spans="2:4">
      <c r="B848" s="67"/>
      <c r="C848" s="67"/>
      <c r="D848" s="67"/>
    </row>
    <row r="849" spans="2:4">
      <c r="B849" s="67"/>
      <c r="C849" s="67"/>
      <c r="D849" s="67"/>
    </row>
    <row r="850" spans="2:4">
      <c r="B850" s="67"/>
      <c r="C850" s="67"/>
      <c r="D850" s="67"/>
    </row>
    <row r="851" spans="2:4">
      <c r="B851" s="67"/>
      <c r="C851" s="67"/>
      <c r="D851" s="67"/>
    </row>
    <row r="852" spans="2:4">
      <c r="B852" s="67"/>
      <c r="C852" s="67"/>
      <c r="D852" s="67"/>
    </row>
    <row r="853" spans="2:4">
      <c r="B853" s="67"/>
      <c r="C853" s="67"/>
      <c r="D853" s="67"/>
    </row>
    <row r="854" spans="2:4">
      <c r="B854" s="67"/>
      <c r="C854" s="67"/>
      <c r="D854" s="67"/>
    </row>
    <row r="855" spans="2:4">
      <c r="B855" s="67"/>
      <c r="C855" s="67"/>
      <c r="D855" s="67"/>
    </row>
    <row r="856" spans="2:4">
      <c r="B856" s="67"/>
      <c r="C856" s="67"/>
      <c r="D856" s="67"/>
    </row>
    <row r="857" spans="2:4">
      <c r="B857" s="67"/>
      <c r="C857" s="67"/>
      <c r="D857" s="67"/>
    </row>
    <row r="858" spans="2:4">
      <c r="B858" s="67"/>
      <c r="C858" s="67"/>
      <c r="D858" s="67"/>
    </row>
    <row r="859" spans="2:4">
      <c r="B859" s="67"/>
      <c r="C859" s="67"/>
      <c r="D859" s="67"/>
    </row>
    <row r="860" spans="2:4">
      <c r="B860" s="67"/>
      <c r="C860" s="67"/>
      <c r="D860" s="67"/>
    </row>
    <row r="861" spans="2:4">
      <c r="B861" s="67"/>
      <c r="C861" s="67"/>
      <c r="D861" s="67"/>
    </row>
    <row r="862" spans="2:4">
      <c r="B862" s="67"/>
      <c r="C862" s="67"/>
      <c r="D862" s="67"/>
    </row>
    <row r="863" spans="2:4">
      <c r="B863" s="67"/>
      <c r="C863" s="67"/>
      <c r="D863" s="67"/>
    </row>
    <row r="864" spans="2:4">
      <c r="B864" s="67"/>
      <c r="C864" s="67"/>
      <c r="D864" s="67"/>
    </row>
    <row r="865" spans="2:4">
      <c r="B865" s="67"/>
      <c r="C865" s="67"/>
      <c r="D865" s="67"/>
    </row>
    <row r="866" spans="2:4">
      <c r="B866" s="67"/>
      <c r="C866" s="67"/>
      <c r="D866" s="67"/>
    </row>
    <row r="867" spans="2:4">
      <c r="B867" s="67"/>
      <c r="C867" s="67"/>
      <c r="D867" s="67"/>
    </row>
    <row r="868" spans="2:4">
      <c r="B868" s="67"/>
      <c r="C868" s="67"/>
      <c r="D868" s="67"/>
    </row>
    <row r="869" spans="2:4">
      <c r="B869" s="67"/>
      <c r="C869" s="67"/>
      <c r="D869" s="67"/>
    </row>
    <row r="870" spans="2:4">
      <c r="B870" s="67"/>
      <c r="C870" s="67"/>
      <c r="D870" s="67"/>
    </row>
    <row r="871" spans="2:4">
      <c r="B871" s="67"/>
      <c r="C871" s="67"/>
      <c r="D871" s="67"/>
    </row>
    <row r="872" spans="2:4">
      <c r="B872" s="67"/>
      <c r="C872" s="67"/>
      <c r="D872" s="67"/>
    </row>
    <row r="873" spans="2:4">
      <c r="B873" s="67"/>
      <c r="C873" s="67"/>
      <c r="D873" s="67"/>
    </row>
    <row r="874" spans="2:4">
      <c r="B874" s="67"/>
      <c r="C874" s="67"/>
      <c r="D874" s="67"/>
    </row>
    <row r="875" spans="2:4">
      <c r="B875" s="67"/>
      <c r="C875" s="67"/>
      <c r="D875" s="67"/>
    </row>
    <row r="876" spans="2:4">
      <c r="B876" s="67"/>
      <c r="C876" s="67"/>
      <c r="D876" s="67"/>
    </row>
    <row r="877" spans="2:4">
      <c r="B877" s="67"/>
      <c r="C877" s="67"/>
      <c r="D877" s="67"/>
    </row>
    <row r="878" spans="2:4">
      <c r="B878" s="67"/>
      <c r="C878" s="67"/>
      <c r="D878" s="67"/>
    </row>
    <row r="879" spans="2:4">
      <c r="B879" s="67"/>
      <c r="C879" s="67"/>
      <c r="D879" s="67"/>
    </row>
    <row r="880" spans="2:4">
      <c r="B880" s="67"/>
      <c r="C880" s="67"/>
      <c r="D880" s="67"/>
    </row>
    <row r="881" spans="2:4">
      <c r="B881" s="67"/>
      <c r="C881" s="67"/>
      <c r="D881" s="67"/>
    </row>
    <row r="882" spans="2:4">
      <c r="B882" s="67"/>
      <c r="C882" s="67"/>
      <c r="D882" s="67"/>
    </row>
    <row r="883" spans="2:4">
      <c r="B883" s="67"/>
      <c r="C883" s="67"/>
      <c r="D883" s="67"/>
    </row>
    <row r="884" spans="2:4">
      <c r="B884" s="67"/>
      <c r="C884" s="67"/>
      <c r="D884" s="67"/>
    </row>
    <row r="885" spans="2:4">
      <c r="B885" s="67"/>
      <c r="C885" s="67"/>
      <c r="D885" s="67"/>
    </row>
    <row r="886" spans="2:4">
      <c r="B886" s="67"/>
      <c r="C886" s="67"/>
      <c r="D886" s="67"/>
    </row>
    <row r="887" spans="2:4">
      <c r="B887" s="67"/>
      <c r="C887" s="67"/>
      <c r="D887" s="67"/>
    </row>
    <row r="888" spans="2:4">
      <c r="B888" s="67"/>
      <c r="C888" s="67"/>
      <c r="D888" s="67"/>
    </row>
    <row r="889" spans="2:4">
      <c r="B889" s="67"/>
      <c r="C889" s="67"/>
      <c r="D889" s="67"/>
    </row>
    <row r="890" spans="2:4">
      <c r="B890" s="67"/>
      <c r="C890" s="67"/>
      <c r="D890" s="67"/>
    </row>
    <row r="891" spans="2:4">
      <c r="B891" s="67"/>
      <c r="C891" s="67"/>
      <c r="D891" s="67"/>
    </row>
    <row r="892" spans="2:4">
      <c r="B892" s="67"/>
      <c r="C892" s="67"/>
      <c r="D892" s="67"/>
    </row>
    <row r="893" spans="2:4">
      <c r="B893" s="67"/>
      <c r="C893" s="67"/>
      <c r="D893" s="67"/>
    </row>
    <row r="894" spans="2:4">
      <c r="B894" s="67"/>
      <c r="C894" s="67"/>
      <c r="D894" s="67"/>
    </row>
    <row r="895" spans="2:4">
      <c r="B895" s="67"/>
      <c r="C895" s="67"/>
      <c r="D895" s="67"/>
    </row>
    <row r="896" spans="2:4">
      <c r="B896" s="67"/>
      <c r="C896" s="67"/>
      <c r="D896" s="67"/>
    </row>
    <row r="897" spans="2:4">
      <c r="B897" s="67"/>
      <c r="C897" s="67"/>
      <c r="D897" s="67"/>
    </row>
    <row r="898" spans="2:4">
      <c r="B898" s="67"/>
      <c r="C898" s="67"/>
      <c r="D898" s="67"/>
    </row>
    <row r="899" spans="2:4">
      <c r="B899" s="67"/>
      <c r="C899" s="67"/>
      <c r="D899" s="67"/>
    </row>
    <row r="900" spans="2:4">
      <c r="B900" s="67"/>
      <c r="C900" s="67"/>
      <c r="D900" s="67"/>
    </row>
    <row r="901" spans="2:4">
      <c r="B901" s="67"/>
      <c r="C901" s="67"/>
      <c r="D901" s="67"/>
    </row>
    <row r="902" spans="2:4">
      <c r="B902" s="67"/>
      <c r="C902" s="67"/>
      <c r="D902" s="67"/>
    </row>
    <row r="903" spans="2:4">
      <c r="B903" s="67"/>
      <c r="C903" s="67"/>
      <c r="D903" s="67"/>
    </row>
    <row r="904" spans="2:4">
      <c r="B904" s="67"/>
      <c r="C904" s="67"/>
      <c r="D904" s="67"/>
    </row>
    <row r="905" spans="2:4">
      <c r="B905" s="67"/>
      <c r="C905" s="67"/>
      <c r="D905" s="67"/>
    </row>
    <row r="906" spans="2:4">
      <c r="B906" s="67"/>
      <c r="C906" s="67"/>
      <c r="D906" s="67"/>
    </row>
    <row r="907" spans="2:4">
      <c r="B907" s="67"/>
      <c r="C907" s="67"/>
      <c r="D907" s="67"/>
    </row>
    <row r="908" spans="2:4">
      <c r="B908" s="67"/>
      <c r="C908" s="67"/>
      <c r="D908" s="67"/>
    </row>
    <row r="909" spans="2:4">
      <c r="B909" s="67"/>
      <c r="C909" s="67"/>
      <c r="D909" s="67"/>
    </row>
    <row r="910" spans="2:4">
      <c r="B910" s="67"/>
      <c r="C910" s="67"/>
      <c r="D910" s="67"/>
    </row>
    <row r="911" spans="2:4">
      <c r="B911" s="67"/>
      <c r="C911" s="67"/>
      <c r="D911" s="67"/>
    </row>
    <row r="912" spans="2:4">
      <c r="B912" s="67"/>
      <c r="C912" s="67"/>
      <c r="D912" s="67"/>
    </row>
    <row r="913" spans="2:4">
      <c r="B913" s="67"/>
      <c r="C913" s="67"/>
      <c r="D913" s="67"/>
    </row>
    <row r="914" spans="2:4">
      <c r="B914" s="67"/>
      <c r="C914" s="67"/>
      <c r="D914" s="67"/>
    </row>
    <row r="915" spans="2:4">
      <c r="B915" s="67"/>
      <c r="C915" s="67"/>
      <c r="D915" s="67"/>
    </row>
    <row r="916" spans="2:4">
      <c r="B916" s="67"/>
      <c r="C916" s="67"/>
      <c r="D916" s="67"/>
    </row>
    <row r="917" spans="2:4">
      <c r="B917" s="67"/>
      <c r="C917" s="67"/>
      <c r="D917" s="67"/>
    </row>
    <row r="918" spans="2:4">
      <c r="B918" s="67"/>
      <c r="C918" s="67"/>
      <c r="D918" s="67"/>
    </row>
    <row r="919" spans="2:4">
      <c r="B919" s="67"/>
      <c r="C919" s="67"/>
      <c r="D919" s="67"/>
    </row>
    <row r="920" spans="2:4">
      <c r="B920" s="67"/>
      <c r="C920" s="67"/>
      <c r="D920" s="67"/>
    </row>
    <row r="921" spans="2:4">
      <c r="B921" s="67"/>
      <c r="C921" s="67"/>
      <c r="D921" s="67"/>
    </row>
    <row r="922" spans="2:4">
      <c r="B922" s="67"/>
      <c r="C922" s="67"/>
      <c r="D922" s="67"/>
    </row>
    <row r="923" spans="2:4">
      <c r="B923" s="67"/>
      <c r="C923" s="67"/>
      <c r="D923" s="67"/>
    </row>
    <row r="924" spans="2:4">
      <c r="B924" s="67"/>
      <c r="C924" s="67"/>
      <c r="D924" s="67"/>
    </row>
    <row r="925" spans="2:4">
      <c r="B925" s="67"/>
      <c r="C925" s="67"/>
      <c r="D925" s="67"/>
    </row>
    <row r="926" spans="2:4">
      <c r="B926" s="67"/>
      <c r="C926" s="67"/>
      <c r="D926" s="67"/>
    </row>
    <row r="927" spans="2:4">
      <c r="B927" s="67"/>
      <c r="C927" s="67"/>
      <c r="D927" s="67"/>
    </row>
    <row r="928" spans="2:4">
      <c r="B928" s="67"/>
      <c r="C928" s="67"/>
      <c r="D928" s="67"/>
    </row>
    <row r="929" spans="2:4">
      <c r="B929" s="67"/>
      <c r="C929" s="67"/>
      <c r="D929" s="67"/>
    </row>
    <row r="930" spans="2:4">
      <c r="B930" s="67"/>
      <c r="C930" s="67"/>
      <c r="D930" s="67"/>
    </row>
    <row r="931" spans="2:4">
      <c r="B931" s="67"/>
      <c r="C931" s="67"/>
      <c r="D931" s="67"/>
    </row>
    <row r="932" spans="2:4">
      <c r="B932" s="67"/>
      <c r="C932" s="67"/>
      <c r="D932" s="67"/>
    </row>
    <row r="933" spans="2:4">
      <c r="B933" s="67"/>
      <c r="C933" s="67"/>
      <c r="D933" s="67"/>
    </row>
    <row r="934" spans="2:4">
      <c r="B934" s="67"/>
      <c r="C934" s="67"/>
      <c r="D934" s="67"/>
    </row>
    <row r="935" spans="2:4">
      <c r="B935" s="67"/>
      <c r="C935" s="67"/>
      <c r="D935" s="67"/>
    </row>
    <row r="936" spans="2:4">
      <c r="B936" s="67"/>
      <c r="C936" s="67"/>
      <c r="D936" s="67"/>
    </row>
    <row r="937" spans="2:4">
      <c r="B937" s="67"/>
      <c r="C937" s="67"/>
      <c r="D937" s="67"/>
    </row>
    <row r="938" spans="2:4">
      <c r="B938" s="67"/>
      <c r="C938" s="67"/>
      <c r="D938" s="67"/>
    </row>
    <row r="939" spans="2:4">
      <c r="B939" s="67"/>
      <c r="C939" s="67"/>
      <c r="D939" s="67"/>
    </row>
    <row r="940" spans="2:4">
      <c r="B940" s="67"/>
      <c r="C940" s="67"/>
      <c r="D940" s="67"/>
    </row>
    <row r="941" spans="2:4">
      <c r="B941" s="67"/>
      <c r="C941" s="67"/>
      <c r="D941" s="67"/>
    </row>
    <row r="942" spans="2:4">
      <c r="B942" s="67"/>
      <c r="C942" s="67"/>
      <c r="D942" s="67"/>
    </row>
    <row r="943" spans="2:4">
      <c r="B943" s="67"/>
      <c r="C943" s="67"/>
      <c r="D943" s="67"/>
    </row>
    <row r="944" spans="2:4">
      <c r="B944" s="67"/>
      <c r="C944" s="67"/>
      <c r="D944" s="67"/>
    </row>
    <row r="945" spans="2:4">
      <c r="B945" s="67"/>
      <c r="C945" s="67"/>
      <c r="D945" s="67"/>
    </row>
    <row r="946" spans="2:4">
      <c r="B946" s="67"/>
      <c r="C946" s="67"/>
      <c r="D946" s="67"/>
    </row>
    <row r="947" spans="2:4">
      <c r="B947" s="67"/>
      <c r="C947" s="67"/>
      <c r="D947" s="67"/>
    </row>
    <row r="948" spans="2:4">
      <c r="B948" s="67"/>
      <c r="C948" s="67"/>
      <c r="D948" s="67"/>
    </row>
    <row r="949" spans="2:4">
      <c r="B949" s="67"/>
      <c r="C949" s="67"/>
      <c r="D949" s="67"/>
    </row>
    <row r="950" spans="2:4">
      <c r="B950" s="67"/>
      <c r="C950" s="67"/>
      <c r="D950" s="67"/>
    </row>
    <row r="951" spans="2:4">
      <c r="B951" s="67"/>
      <c r="C951" s="67"/>
      <c r="D951" s="67"/>
    </row>
    <row r="952" spans="2:4">
      <c r="B952" s="67"/>
      <c r="C952" s="67"/>
      <c r="D952" s="67"/>
    </row>
    <row r="953" spans="2:4">
      <c r="B953" s="67"/>
      <c r="C953" s="67"/>
      <c r="D953" s="67"/>
    </row>
    <row r="954" spans="2:4">
      <c r="B954" s="67"/>
      <c r="C954" s="67"/>
      <c r="D954" s="67"/>
    </row>
    <row r="955" spans="2:4">
      <c r="B955" s="67"/>
      <c r="C955" s="67"/>
      <c r="D955" s="67"/>
    </row>
    <row r="956" spans="2:4">
      <c r="B956" s="67"/>
      <c r="C956" s="67"/>
      <c r="D956" s="67"/>
    </row>
    <row r="957" spans="2:4">
      <c r="B957" s="67"/>
      <c r="C957" s="67"/>
      <c r="D957" s="67"/>
    </row>
    <row r="958" spans="2:4">
      <c r="B958" s="67"/>
      <c r="C958" s="67"/>
      <c r="D958" s="67"/>
    </row>
    <row r="959" spans="2:4">
      <c r="B959" s="67"/>
      <c r="C959" s="67"/>
      <c r="D959" s="67"/>
    </row>
    <row r="960" spans="2:4">
      <c r="B960" s="67"/>
      <c r="C960" s="67"/>
      <c r="D960" s="67"/>
    </row>
    <row r="961" spans="2:4">
      <c r="B961" s="67"/>
      <c r="C961" s="67"/>
      <c r="D961" s="67"/>
    </row>
    <row r="962" spans="2:4">
      <c r="B962" s="67"/>
      <c r="C962" s="67"/>
      <c r="D962" s="67"/>
    </row>
    <row r="963" spans="2:4">
      <c r="B963" s="67"/>
      <c r="C963" s="67"/>
      <c r="D963" s="67"/>
    </row>
    <row r="964" spans="2:4">
      <c r="B964" s="67"/>
      <c r="C964" s="67"/>
      <c r="D964" s="67"/>
    </row>
    <row r="965" spans="2:4">
      <c r="B965" s="67"/>
      <c r="C965" s="67"/>
      <c r="D965" s="67"/>
    </row>
    <row r="966" spans="2:4">
      <c r="B966" s="67"/>
      <c r="C966" s="67"/>
      <c r="D966" s="67"/>
    </row>
    <row r="967" spans="2:4">
      <c r="B967" s="67"/>
      <c r="C967" s="67"/>
      <c r="D967" s="67"/>
    </row>
    <row r="968" spans="2:4">
      <c r="B968" s="67"/>
      <c r="C968" s="67"/>
      <c r="D968" s="67"/>
    </row>
    <row r="969" spans="2:4">
      <c r="B969" s="67"/>
      <c r="C969" s="67"/>
      <c r="D969" s="67"/>
    </row>
    <row r="970" spans="2:4">
      <c r="B970" s="67"/>
      <c r="C970" s="67"/>
      <c r="D970" s="67"/>
    </row>
    <row r="971" spans="2:4">
      <c r="B971" s="67"/>
      <c r="C971" s="67"/>
      <c r="D971" s="67"/>
    </row>
    <row r="972" spans="2:4">
      <c r="B972" s="67"/>
      <c r="C972" s="67"/>
      <c r="D972" s="67"/>
    </row>
    <row r="973" spans="2:4">
      <c r="B973" s="67"/>
      <c r="C973" s="67"/>
      <c r="D973" s="67"/>
    </row>
    <row r="974" spans="2:4">
      <c r="B974" s="67"/>
      <c r="C974" s="67"/>
      <c r="D974" s="67"/>
    </row>
    <row r="975" spans="2:4">
      <c r="B975" s="67"/>
      <c r="C975" s="67"/>
      <c r="D975" s="67"/>
    </row>
    <row r="976" spans="2:4">
      <c r="B976" s="67"/>
      <c r="C976" s="67"/>
      <c r="D976" s="67"/>
    </row>
    <row r="977" spans="2:4">
      <c r="B977" s="67"/>
      <c r="C977" s="67"/>
      <c r="D977" s="67"/>
    </row>
    <row r="978" spans="2:4">
      <c r="B978" s="67"/>
      <c r="C978" s="67"/>
      <c r="D978" s="67"/>
    </row>
    <row r="979" spans="2:4">
      <c r="B979" s="67"/>
      <c r="C979" s="67"/>
      <c r="D979" s="67"/>
    </row>
    <row r="980" spans="2:4">
      <c r="B980" s="67"/>
      <c r="C980" s="67"/>
      <c r="D980" s="67"/>
    </row>
    <row r="981" spans="2:4">
      <c r="B981" s="67"/>
      <c r="C981" s="67"/>
      <c r="D981" s="67"/>
    </row>
    <row r="982" spans="2:4">
      <c r="B982" s="67"/>
      <c r="C982" s="67"/>
      <c r="D982" s="67"/>
    </row>
    <row r="983" spans="2:4">
      <c r="B983" s="67"/>
      <c r="C983" s="67"/>
      <c r="D983" s="67"/>
    </row>
    <row r="984" spans="2:4">
      <c r="B984" s="67"/>
      <c r="C984" s="67"/>
      <c r="D984" s="67"/>
    </row>
    <row r="985" spans="2:4">
      <c r="B985" s="67"/>
      <c r="C985" s="67"/>
      <c r="D985" s="67"/>
    </row>
    <row r="986" spans="2:4">
      <c r="B986" s="67"/>
      <c r="C986" s="67"/>
      <c r="D986" s="67"/>
    </row>
    <row r="987" spans="2:4">
      <c r="B987" s="67"/>
      <c r="C987" s="67"/>
      <c r="D987" s="67"/>
    </row>
    <row r="988" spans="2:4">
      <c r="B988" s="67"/>
      <c r="C988" s="67"/>
      <c r="D988" s="67"/>
    </row>
    <row r="989" spans="2:4">
      <c r="B989" s="67"/>
      <c r="C989" s="67"/>
      <c r="D989" s="67"/>
    </row>
    <row r="990" spans="2:4">
      <c r="B990" s="67"/>
      <c r="C990" s="67"/>
      <c r="D990" s="67"/>
    </row>
    <row r="991" spans="2:4">
      <c r="B991" s="67"/>
      <c r="C991" s="67"/>
      <c r="D991" s="67"/>
    </row>
    <row r="992" spans="2:4">
      <c r="B992" s="67"/>
      <c r="C992" s="67"/>
      <c r="D992" s="67"/>
    </row>
    <row r="993" spans="2:4">
      <c r="B993" s="67"/>
      <c r="C993" s="67"/>
      <c r="D993" s="67"/>
    </row>
    <row r="994" spans="2:4">
      <c r="B994" s="67"/>
      <c r="C994" s="67"/>
      <c r="D994" s="67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 Manoa Data</vt:lpstr>
      <vt:lpstr>Sheet3</vt:lpstr>
      <vt:lpstr>Hailey's Data</vt:lpstr>
      <vt:lpstr>Sheet1</vt:lpstr>
      <vt:lpstr>Sheet2</vt:lpstr>
    </vt:vector>
  </TitlesOfParts>
  <Manager/>
  <Company>PNNL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Alfaro, Kylie</dc:creator>
  <cp:keywords/>
  <dc:description/>
  <cp:lastModifiedBy>Kylie Alfaro</cp:lastModifiedBy>
  <cp:revision/>
  <dcterms:created xsi:type="dcterms:W3CDTF">2026-06-23T14:51:47Z</dcterms:created>
  <dcterms:modified xsi:type="dcterms:W3CDTF">2026-10-19T19:06:12Z</dcterms:modified>
  <cp:category/>
  <cp:contentStatus/>
</cp:coreProperties>
</file>